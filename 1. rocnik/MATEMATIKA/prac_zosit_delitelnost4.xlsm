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4.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5.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8.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9.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Projects\IT_akademia\Metodiky\Delitelnost\Delitelnost_4\Finalizacia_2020\"/>
    </mc:Choice>
  </mc:AlternateContent>
  <bookViews>
    <workbookView xWindow="480" yWindow="90" windowWidth="11340" windowHeight="8070"/>
  </bookViews>
  <sheets>
    <sheet name="Úvod" sheetId="9" r:id="rId1"/>
    <sheet name="Motivacia" sheetId="1" r:id="rId2"/>
    <sheet name="Zapis" sheetId="2" state="veryHidden" r:id="rId3"/>
    <sheet name="Rozhodovanie" sheetId="3" state="veryHidden" r:id="rId4"/>
    <sheet name="Doplnenie" sheetId="4" state="veryHidden" r:id="rId5"/>
    <sheet name="Vytvorenie1" sheetId="5" state="veryHidden" r:id="rId6"/>
    <sheet name="Doplnenie2" sheetId="6" state="veryHidden" r:id="rId7"/>
    <sheet name="Vytvorenie2" sheetId="7" state="veryHidden" r:id="rId8"/>
    <sheet name="Vytvorenie3" sheetId="8" state="veryHidden" r:id="rId9"/>
  </sheets>
  <calcPr calcId="162913"/>
</workbook>
</file>

<file path=xl/calcChain.xml><?xml version="1.0" encoding="utf-8"?>
<calcChain xmlns="http://schemas.openxmlformats.org/spreadsheetml/2006/main">
  <c r="F7" i="6" l="1"/>
  <c r="E10" i="6"/>
  <c r="F6" i="8"/>
  <c r="F7" i="8" s="1"/>
  <c r="E10" i="8"/>
  <c r="F6" i="7"/>
  <c r="F7" i="7"/>
  <c r="E10" i="7"/>
  <c r="F6" i="4"/>
  <c r="F7" i="4"/>
  <c r="D10" i="4"/>
  <c r="E7" i="3"/>
  <c r="F6" i="5"/>
  <c r="F7" i="5"/>
  <c r="E10" i="5"/>
  <c r="E11" i="3"/>
  <c r="E8" i="3"/>
  <c r="E9" i="3"/>
  <c r="E10" i="3"/>
  <c r="F10" i="2"/>
  <c r="E10" i="2"/>
  <c r="E9" i="2"/>
  <c r="E6" i="2"/>
  <c r="E7" i="2"/>
  <c r="E8" i="2"/>
  <c r="J10" i="1"/>
  <c r="H11" i="1"/>
  <c r="C11" i="1"/>
  <c r="D11" i="1"/>
  <c r="B11" i="1"/>
  <c r="E11" i="1"/>
  <c r="F11" i="1"/>
  <c r="G11" i="1"/>
  <c r="H10" i="1"/>
  <c r="C10" i="1"/>
  <c r="D10" i="1"/>
  <c r="B10" i="1"/>
  <c r="E10" i="1"/>
  <c r="F10" i="1"/>
  <c r="G10" i="1"/>
  <c r="E12" i="3" l="1"/>
  <c r="D14" i="3" s="1"/>
  <c r="I11" i="1"/>
  <c r="C14" i="1" s="1"/>
  <c r="I10" i="1"/>
  <c r="C13" i="1" s="1"/>
  <c r="E11" i="2"/>
  <c r="D14" i="2" s="1"/>
  <c r="C16" i="1" l="1"/>
</calcChain>
</file>

<file path=xl/sharedStrings.xml><?xml version="1.0" encoding="utf-8"?>
<sst xmlns="http://schemas.openxmlformats.org/spreadsheetml/2006/main" count="76" uniqueCount="60">
  <si>
    <t>Rozdeľovanie predmetov</t>
  </si>
  <si>
    <t xml:space="preserve">Do riadku s názvom Rozdelenie, zapíšte čísla podľa toho, komu bude daný predmet pridelený: otcovi - 0, staršiemu synovi - 1, mladšiemu synovi - 2. </t>
  </si>
  <si>
    <t>Vec</t>
  </si>
  <si>
    <t>Cena</t>
  </si>
  <si>
    <t>Rozdelenie</t>
  </si>
  <si>
    <t>aktovka</t>
  </si>
  <si>
    <t>kniha</t>
  </si>
  <si>
    <t>značkové pero</t>
  </si>
  <si>
    <t>karisblok</t>
  </si>
  <si>
    <t>pero</t>
  </si>
  <si>
    <t>popisovačka</t>
  </si>
  <si>
    <t>Spolu</t>
  </si>
  <si>
    <t>Vyhodnotenie</t>
  </si>
  <si>
    <t>Zápis čísel deliteľných číslom 4</t>
  </si>
  <si>
    <t>Číslo</t>
  </si>
  <si>
    <t>1.</t>
  </si>
  <si>
    <t>2.</t>
  </si>
  <si>
    <t>3.</t>
  </si>
  <si>
    <t>4.</t>
  </si>
  <si>
    <t>5.</t>
  </si>
  <si>
    <t>Poradie</t>
  </si>
  <si>
    <t>Hodnotenie</t>
  </si>
  <si>
    <t>USB kľúč</t>
  </si>
  <si>
    <t>Výber čísel deliteľných číslom 4</t>
  </si>
  <si>
    <t>Rozhodnutie</t>
  </si>
  <si>
    <t>Vyberte v tabuľke čísla, ktoré sú deliteľné číslom 4. Ak je číslo deliteľné číslom 4, tak do bunky vpravo v stĺpci s menom Rozhodnutie napíšte znak "a", ak číslo nie je deliteľné číslom 4, do bunky vpravo napíšte znak "n".</t>
  </si>
  <si>
    <t>Ak viete nájsť viac riešení, zapíšte do vyznačenej oblasti pod seba veci, ktoré dostane mladší syn.</t>
  </si>
  <si>
    <t>Starší syn</t>
  </si>
  <si>
    <t>Mladší syn</t>
  </si>
  <si>
    <t>A</t>
  </si>
  <si>
    <t>B</t>
  </si>
  <si>
    <t>C</t>
  </si>
  <si>
    <t>D</t>
  </si>
  <si>
    <t>Doplnenie čísla</t>
  </si>
  <si>
    <t>Všeobecný zápis</t>
  </si>
  <si>
    <t>Príklad</t>
  </si>
  <si>
    <t>Počet možností</t>
  </si>
  <si>
    <r>
      <t>8</t>
    </r>
    <r>
      <rPr>
        <b/>
        <sz val="10"/>
        <rFont val="Arial"/>
        <family val="2"/>
        <charset val="238"/>
      </rPr>
      <t>c</t>
    </r>
  </si>
  <si>
    <t>Vytvorenie zápisu dvojciferného čísla</t>
  </si>
  <si>
    <t>Vytvorte zápis dvojciferného čísla s jedným znakom "c", aby z neho bolo možné vytvoriť čo najviac dvojciferných čísel deliteľných číslom 4.</t>
  </si>
  <si>
    <t>Doplnenie trojciferného čísla</t>
  </si>
  <si>
    <t>Doplňte cifry do trojciferného čísla na mieste desiatok a jednotiek tak, aby vytvorené číslo bolo deliteľné číslom 4.</t>
  </si>
  <si>
    <t>Stovky</t>
  </si>
  <si>
    <t>Desiatky</t>
  </si>
  <si>
    <t>Jednotky</t>
  </si>
  <si>
    <t>Vytvorenie zápisu trojciferného čísla</t>
  </si>
  <si>
    <t>Vytvorte zápis trojciferného čísla s práve jedným znakom "c" tak, aby sme po doplnení číslice za znak "c" mohli získať čo najviac trojciferných čísel deliteľných číslom 4.</t>
  </si>
  <si>
    <t>Vytvorenie zápisu štvorciferného čísla</t>
  </si>
  <si>
    <t>Vytvorte zápis štvorciferného čísla s práve jedným znakom "c" tak, aby sme po doplnení ľubovoľnej cifry za znak "c" získali štvorciferné číslo deliteľné číslom 4.</t>
  </si>
  <si>
    <t>Tisícky</t>
  </si>
  <si>
    <t>Zapíšte nápady na uľahčenie rozhodovania o deliteľnosti prirodzeného čísla číslom 4.</t>
  </si>
  <si>
    <t>Pracovný list</t>
  </si>
  <si>
    <t xml:space="preserve">Pracovný list obsahuje postupnosť úloh na skúmanie deliteľnosti prirodzených čísel číslom 4. Správne vyriešenie úloh navádza k odvodeniu kritéria deliteľnosti číslom 4 a k využitiu správnych argumentov pre zdôvodnenie tohto matematického pravidla. </t>
  </si>
  <si>
    <t>Poznatky o deliteľnosti prirodzených čísel by ste mali využiť aj pri riešení úvodnej úlohy. Ak by sa Vám podarilo nájsť viac správnych riešení môžete ich uviesť požadovaným spôsobom vo vyznačenej oblasti buniek. Aj keby sa Vám nepodarilo nájsť riešenie úvodnej úlohy, pomocou tlačidla Ďalej môžete prejsť na nasledujúcu úlohu. Pri ostatných úlohách je prechod na riešenie nasledujúcej úlohy podmienený správnym vyriešením predloženej úlohy.</t>
  </si>
  <si>
    <t>Po zadaní požadovaných údajov sa v tabuľke so zeleným pozadím zobrazí vyhodnotenie Vášho riešenia úlohy. Ak ste úlohu vyriešili správne, zatlačením tlačidla Ďalej sa otvorí ďalší hárok pracovného listu so zadaním nasledujúcej úlohy.</t>
  </si>
  <si>
    <t>Zapíšte do tabuľky 5 rôznych prirodzených čísel väčších ako 50, ale menších ako 1000000, ktoré sú deliteľné číslom 4.</t>
  </si>
  <si>
    <t>Meno a priezvisko:</t>
  </si>
  <si>
    <t>Trieda:</t>
  </si>
  <si>
    <r>
      <t>Nájdite všetky možnosti, ako možno nahradiť vo všeobecnom zápise 8c znak „c“ číslicou tak</t>
    </r>
    <r>
      <rPr>
        <sz val="10"/>
        <rFont val="Arial"/>
        <family val="2"/>
        <charset val="238"/>
      </rPr>
      <t>, aby vzniklo číslo deliteľné číslom 4. Jedno vytvorené číslo zapíšte aj do tabuľky.</t>
    </r>
  </si>
  <si>
    <t>Otec nakúpil pre dvoch synov predmety do školy. V tabuľke je uvedený zoznam predmetov spolu s cenami. Rozhodol sa, že predmety rozdelí synom tak, aby cena predmetov, ktoré dostane starší syn bola trikrát väčšia, ako cena predmetov, ktoré dostane mladší syn. Ešte pred rozdelením sa rozhodol, že si jednu vec nechá pre seba. Nájdite aspoň jedno rozdelenie všetkých predmetov vyhovujúce požiadavkám otca.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</si>
</sst>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0"/>
      <name val="Arial"/>
      <charset val="238"/>
    </font>
    <font>
      <sz val="10"/>
      <name val="Arial"/>
      <family val="2"/>
      <charset val="238"/>
    </font>
    <font>
      <sz val="14"/>
      <color indexed="10"/>
      <name val="Arial"/>
      <family val="2"/>
      <charset val="238"/>
    </font>
    <font>
      <sz val="8"/>
      <name val="Arial"/>
      <family val="2"/>
      <charset val="238"/>
    </font>
    <font>
      <b/>
      <sz val="10"/>
      <name val="Arial"/>
      <family val="2"/>
      <charset val="238"/>
    </font>
    <font>
      <b/>
      <sz val="10"/>
      <color indexed="10"/>
      <name val="Arial"/>
      <family val="2"/>
      <charset val="238"/>
    </font>
    <font>
      <sz val="10"/>
      <color indexed="9"/>
      <name val="Arial"/>
      <family val="2"/>
      <charset val="238"/>
    </font>
    <font>
      <sz val="14"/>
      <color indexed="10"/>
      <name val="Arial"/>
      <family val="2"/>
      <charset val="238"/>
    </font>
    <font>
      <sz val="10"/>
      <name val="Arial"/>
      <family val="2"/>
      <charset val="238"/>
    </font>
    <font>
      <sz val="10"/>
      <color theme="0"/>
      <name val="Arial"/>
      <family val="2"/>
      <charset val="238"/>
    </font>
  </fonts>
  <fills count="7">
    <fill>
      <patternFill patternType="none"/>
    </fill>
    <fill>
      <patternFill patternType="gray125"/>
    </fill>
    <fill>
      <patternFill patternType="solid">
        <fgColor indexed="43"/>
        <bgColor indexed="64"/>
      </patternFill>
    </fill>
    <fill>
      <patternFill patternType="solid">
        <fgColor indexed="42"/>
        <bgColor indexed="64"/>
      </patternFill>
    </fill>
    <fill>
      <patternFill patternType="solid">
        <fgColor indexed="41"/>
        <bgColor indexed="64"/>
      </patternFill>
    </fill>
    <fill>
      <patternFill patternType="solid">
        <fgColor indexed="47"/>
        <bgColor indexed="64"/>
      </patternFill>
    </fill>
    <fill>
      <patternFill patternType="solid">
        <fgColor rgb="FFFFFFCC"/>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s>
  <cellStyleXfs count="1">
    <xf numFmtId="0" fontId="0" fillId="0" borderId="0"/>
  </cellStyleXfs>
  <cellXfs count="49">
    <xf numFmtId="0" fontId="0" fillId="0" borderId="0" xfId="0"/>
    <xf numFmtId="0" fontId="0" fillId="0" borderId="0" xfId="0" applyAlignment="1" applyProtection="1">
      <alignment horizontal="center"/>
      <protection hidden="1"/>
    </xf>
    <xf numFmtId="0" fontId="0" fillId="0" borderId="0" xfId="0" applyProtection="1">
      <protection hidden="1"/>
    </xf>
    <xf numFmtId="0" fontId="0" fillId="0" borderId="0" xfId="0" applyFill="1" applyAlignment="1" applyProtection="1">
      <protection hidden="1"/>
    </xf>
    <xf numFmtId="0" fontId="4" fillId="0" borderId="1" xfId="0" applyFont="1" applyBorder="1" applyProtection="1">
      <protection hidden="1"/>
    </xf>
    <xf numFmtId="0" fontId="4" fillId="0" borderId="1" xfId="0" applyFont="1" applyBorder="1" applyAlignment="1" applyProtection="1">
      <alignment horizontal="center"/>
      <protection hidden="1"/>
    </xf>
    <xf numFmtId="0" fontId="0" fillId="0" borderId="1" xfId="0" applyBorder="1" applyAlignment="1" applyProtection="1">
      <alignment horizontal="center"/>
      <protection hidden="1"/>
    </xf>
    <xf numFmtId="0" fontId="6" fillId="0" borderId="0" xfId="0" applyFont="1" applyProtection="1">
      <protection hidden="1"/>
    </xf>
    <xf numFmtId="0" fontId="0" fillId="2" borderId="1" xfId="0" applyFill="1" applyBorder="1" applyProtection="1">
      <protection hidden="1"/>
    </xf>
    <xf numFmtId="0" fontId="4" fillId="2" borderId="1" xfId="0" applyFont="1" applyFill="1" applyBorder="1" applyAlignment="1" applyProtection="1">
      <alignment horizontal="center"/>
      <protection hidden="1"/>
    </xf>
    <xf numFmtId="0" fontId="4" fillId="2" borderId="1" xfId="0" applyFont="1" applyFill="1" applyBorder="1" applyProtection="1">
      <protection hidden="1"/>
    </xf>
    <xf numFmtId="0" fontId="0" fillId="2" borderId="1" xfId="0" applyFill="1" applyBorder="1" applyAlignment="1" applyProtection="1">
      <alignment horizontal="center"/>
      <protection hidden="1"/>
    </xf>
    <xf numFmtId="0" fontId="4" fillId="3" borderId="1" xfId="0" applyFont="1" applyFill="1" applyBorder="1" applyProtection="1">
      <protection hidden="1"/>
    </xf>
    <xf numFmtId="0" fontId="5" fillId="3" borderId="1" xfId="0" applyFont="1" applyFill="1" applyBorder="1" applyProtection="1">
      <protection hidden="1"/>
    </xf>
    <xf numFmtId="0" fontId="0" fillId="4" borderId="1" xfId="0" applyFill="1" applyBorder="1" applyAlignment="1" applyProtection="1">
      <alignment horizontal="center"/>
      <protection locked="0"/>
    </xf>
    <xf numFmtId="0" fontId="4" fillId="3" borderId="1" xfId="0" applyFont="1" applyFill="1" applyBorder="1" applyAlignment="1" applyProtection="1">
      <alignment horizontal="left"/>
      <protection hidden="1"/>
    </xf>
    <xf numFmtId="0" fontId="0" fillId="4" borderId="1" xfId="0" applyFill="1" applyBorder="1" applyProtection="1">
      <protection locked="0"/>
    </xf>
    <xf numFmtId="0" fontId="1" fillId="0" borderId="0" xfId="0" applyFont="1" applyProtection="1">
      <protection hidden="1"/>
    </xf>
    <xf numFmtId="0" fontId="0" fillId="0" borderId="0" xfId="0" applyBorder="1" applyAlignment="1" applyProtection="1">
      <alignment horizontal="center"/>
      <protection hidden="1"/>
    </xf>
    <xf numFmtId="0" fontId="0" fillId="0" borderId="0" xfId="0" applyFill="1" applyBorder="1" applyProtection="1">
      <protection locked="0"/>
    </xf>
    <xf numFmtId="0" fontId="6" fillId="0" borderId="0" xfId="0" applyFont="1" applyFill="1" applyBorder="1" applyProtection="1">
      <protection locked="0"/>
    </xf>
    <xf numFmtId="0" fontId="5" fillId="3" borderId="1" xfId="0" applyFont="1" applyFill="1" applyBorder="1" applyAlignment="1" applyProtection="1">
      <alignment horizontal="center"/>
      <protection hidden="1"/>
    </xf>
    <xf numFmtId="0" fontId="4" fillId="4" borderId="1" xfId="0" applyFont="1" applyFill="1" applyBorder="1" applyAlignment="1" applyProtection="1">
      <alignment horizontal="center"/>
      <protection locked="0"/>
    </xf>
    <xf numFmtId="0" fontId="2" fillId="0" borderId="0" xfId="0" applyFont="1" applyAlignment="1" applyProtection="1">
      <alignment horizontal="center"/>
      <protection hidden="1"/>
    </xf>
    <xf numFmtId="0" fontId="4" fillId="0" borderId="0" xfId="0" applyFont="1" applyAlignment="1" applyProtection="1">
      <alignment horizontal="center"/>
      <protection hidden="1"/>
    </xf>
    <xf numFmtId="0" fontId="8" fillId="0" borderId="1" xfId="0" applyFont="1" applyBorder="1" applyAlignment="1" applyProtection="1">
      <alignment horizontal="center"/>
      <protection hidden="1"/>
    </xf>
    <xf numFmtId="0" fontId="4" fillId="0" borderId="1" xfId="0" applyFont="1" applyFill="1" applyBorder="1" applyAlignment="1" applyProtection="1">
      <alignment horizontal="center"/>
      <protection hidden="1"/>
    </xf>
    <xf numFmtId="0" fontId="4" fillId="0" borderId="0" xfId="0" applyFont="1" applyProtection="1">
      <protection hidden="1"/>
    </xf>
    <xf numFmtId="0" fontId="0" fillId="4" borderId="0" xfId="0" applyFill="1" applyProtection="1">
      <protection locked="0"/>
    </xf>
    <xf numFmtId="0" fontId="0" fillId="2" borderId="2" xfId="0" applyFill="1" applyBorder="1" applyProtection="1">
      <protection locked="0"/>
    </xf>
    <xf numFmtId="0" fontId="0" fillId="2" borderId="3" xfId="0" applyFill="1" applyBorder="1" applyProtection="1">
      <protection locked="0"/>
    </xf>
    <xf numFmtId="0" fontId="0" fillId="2" borderId="0" xfId="0" applyFill="1" applyProtection="1">
      <protection locked="0"/>
    </xf>
    <xf numFmtId="0" fontId="0" fillId="0" borderId="0" xfId="0" applyProtection="1">
      <protection locked="0"/>
    </xf>
    <xf numFmtId="0" fontId="8" fillId="4" borderId="0" xfId="0" applyFont="1" applyFill="1" applyProtection="1">
      <protection locked="0"/>
    </xf>
    <xf numFmtId="0" fontId="8" fillId="0" borderId="0" xfId="0" applyFont="1" applyProtection="1">
      <protection hidden="1"/>
    </xf>
    <xf numFmtId="0" fontId="9" fillId="0" borderId="0" xfId="0" applyFont="1" applyProtection="1">
      <protection hidden="1"/>
    </xf>
    <xf numFmtId="0" fontId="0" fillId="6" borderId="0" xfId="0" applyFill="1" applyAlignment="1" applyProtection="1">
      <alignment horizontal="left"/>
      <protection locked="0"/>
    </xf>
    <xf numFmtId="0" fontId="2" fillId="0" borderId="0" xfId="0" applyFont="1" applyAlignment="1" applyProtection="1">
      <alignment horizontal="center" wrapText="1"/>
      <protection hidden="1"/>
    </xf>
    <xf numFmtId="0" fontId="0" fillId="4" borderId="0" xfId="0" applyFill="1" applyAlignment="1" applyProtection="1">
      <alignment wrapText="1"/>
      <protection hidden="1"/>
    </xf>
    <xf numFmtId="0" fontId="0" fillId="3" borderId="0" xfId="0" applyFill="1" applyAlignment="1" applyProtection="1">
      <alignment wrapText="1"/>
      <protection hidden="1"/>
    </xf>
    <xf numFmtId="0" fontId="1" fillId="6" borderId="0" xfId="0" applyFont="1" applyFill="1" applyAlignment="1" applyProtection="1">
      <alignment horizontal="left"/>
      <protection locked="0"/>
    </xf>
    <xf numFmtId="0" fontId="0" fillId="5" borderId="0" xfId="0" applyFill="1" applyAlignment="1" applyProtection="1">
      <alignment wrapText="1"/>
      <protection hidden="1"/>
    </xf>
    <xf numFmtId="0" fontId="0" fillId="2" borderId="0" xfId="0" applyFill="1" applyAlignment="1" applyProtection="1">
      <alignment wrapText="1"/>
      <protection hidden="1"/>
    </xf>
    <xf numFmtId="0" fontId="2" fillId="0" borderId="0" xfId="0" applyFont="1" applyAlignment="1" applyProtection="1">
      <alignment horizontal="center"/>
      <protection hidden="1"/>
    </xf>
    <xf numFmtId="0" fontId="0" fillId="0" borderId="0" xfId="0" applyAlignment="1" applyProtection="1">
      <alignment horizontal="center"/>
      <protection hidden="1"/>
    </xf>
    <xf numFmtId="0" fontId="0" fillId="2" borderId="0" xfId="0" applyFill="1" applyAlignment="1" applyProtection="1">
      <protection hidden="1"/>
    </xf>
    <xf numFmtId="0" fontId="7" fillId="0" borderId="0" xfId="0" applyFont="1" applyAlignment="1" applyProtection="1">
      <alignment horizontal="center"/>
      <protection hidden="1"/>
    </xf>
    <xf numFmtId="0" fontId="8" fillId="5" borderId="0" xfId="0" applyFont="1" applyFill="1" applyAlignment="1" applyProtection="1">
      <alignment wrapText="1"/>
      <protection hidden="1"/>
    </xf>
    <xf numFmtId="0" fontId="1" fillId="5" borderId="0" xfId="0" applyFont="1" applyFill="1" applyAlignment="1" applyProtection="1">
      <alignment wrapText="1"/>
      <protection hidden="1"/>
    </xf>
  </cellXfs>
  <cellStyles count="1">
    <cellStyle name="Normálna"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 Id="rId4"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0.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285750</xdr:colOff>
          <xdr:row>10</xdr:row>
          <xdr:rowOff>152400</xdr:rowOff>
        </xdr:from>
        <xdr:to>
          <xdr:col>6</xdr:col>
          <xdr:colOff>28575</xdr:colOff>
          <xdr:row>12</xdr:row>
          <xdr:rowOff>152400</xdr:rowOff>
        </xdr:to>
        <xdr:sp macro="" textlink="">
          <xdr:nvSpPr>
            <xdr:cNvPr id="9217" name="CommandButton1"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31115</xdr:colOff>
      <xdr:row>21</xdr:row>
      <xdr:rowOff>9525</xdr:rowOff>
    </xdr:from>
    <xdr:to>
      <xdr:col>3</xdr:col>
      <xdr:colOff>605155</xdr:colOff>
      <xdr:row>23</xdr:row>
      <xdr:rowOff>113030</xdr:rowOff>
    </xdr:to>
    <xdr:pic>
      <xdr:nvPicPr>
        <xdr:cNvPr id="8" name="Obrázok 7"/>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9913" b="16157"/>
        <a:stretch/>
      </xdr:blipFill>
      <xdr:spPr bwMode="auto">
        <a:xfrm>
          <a:off x="640715" y="5305425"/>
          <a:ext cx="1793240" cy="427355"/>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4</xdr:col>
      <xdr:colOff>123190</xdr:colOff>
      <xdr:row>21</xdr:row>
      <xdr:rowOff>0</xdr:rowOff>
    </xdr:from>
    <xdr:to>
      <xdr:col>7</xdr:col>
      <xdr:colOff>254000</xdr:colOff>
      <xdr:row>23</xdr:row>
      <xdr:rowOff>75565</xdr:rowOff>
    </xdr:to>
    <xdr:pic>
      <xdr:nvPicPr>
        <xdr:cNvPr id="9" name="Obrázok 8"/>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22571" b="34545"/>
        <a:stretch/>
      </xdr:blipFill>
      <xdr:spPr bwMode="auto">
        <a:xfrm>
          <a:off x="2561590" y="5295900"/>
          <a:ext cx="1959610" cy="399415"/>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8</xdr:col>
      <xdr:colOff>575945</xdr:colOff>
      <xdr:row>21</xdr:row>
      <xdr:rowOff>101600</xdr:rowOff>
    </xdr:from>
    <xdr:to>
      <xdr:col>10</xdr:col>
      <xdr:colOff>356235</xdr:colOff>
      <xdr:row>23</xdr:row>
      <xdr:rowOff>48895</xdr:rowOff>
    </xdr:to>
    <xdr:pic>
      <xdr:nvPicPr>
        <xdr:cNvPr id="10" name="Obrázok 9"/>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16628" b="19170"/>
        <a:stretch/>
      </xdr:blipFill>
      <xdr:spPr bwMode="auto">
        <a:xfrm>
          <a:off x="5452745" y="5397500"/>
          <a:ext cx="999490" cy="271145"/>
        </a:xfrm>
        <a:prstGeom prst="rect">
          <a:avLst/>
        </a:prstGeom>
        <a:ln>
          <a:noFill/>
        </a:ln>
        <a:extLst>
          <a:ext uri="{53640926-AAD7-44D8-BBD7-CCE9431645EC}">
            <a14:shadowObscured xmlns:a14="http://schemas.microsoft.com/office/drawing/2010/main"/>
          </a:ext>
        </a:extLst>
      </xdr:spPr>
    </xdr:pic>
    <xdr:clientData/>
  </xdr:twoCellAnchor>
  <xdr:twoCellAnchor>
    <xdr:from>
      <xdr:col>0</xdr:col>
      <xdr:colOff>0</xdr:colOff>
      <xdr:row>23</xdr:row>
      <xdr:rowOff>119380</xdr:rowOff>
    </xdr:from>
    <xdr:to>
      <xdr:col>11</xdr:col>
      <xdr:colOff>243840</xdr:colOff>
      <xdr:row>26</xdr:row>
      <xdr:rowOff>137795</xdr:rowOff>
    </xdr:to>
    <xdr:sp macro="" textlink="">
      <xdr:nvSpPr>
        <xdr:cNvPr id="11" name="Textové pole 2"/>
        <xdr:cNvSpPr txBox="1">
          <a:spLocks noChangeArrowheads="1"/>
        </xdr:cNvSpPr>
      </xdr:nvSpPr>
      <xdr:spPr bwMode="auto">
        <a:xfrm>
          <a:off x="0" y="5739130"/>
          <a:ext cx="6949440" cy="504190"/>
        </a:xfrm>
        <a:prstGeom prst="rect">
          <a:avLst/>
        </a:prstGeom>
        <a:solidFill>
          <a:srgbClr val="FFFFFF"/>
        </a:solidFill>
        <a:ln w="9525">
          <a:noFill/>
          <a:miter lim="800000"/>
          <a:headEnd/>
          <a:tailEnd/>
        </a:ln>
      </xdr:spPr>
      <xdr:txBody>
        <a:bodyPr rot="0" vert="horz" wrap="square" lIns="91440" tIns="45720" rIns="91440" bIns="45720" anchor="t" anchorCtr="0">
          <a:noAutofit/>
        </a:bodyPr>
        <a:lstStyle/>
        <a:p>
          <a:pPr algn="ctr">
            <a:lnSpc>
              <a:spcPct val="80000"/>
            </a:lnSpc>
            <a:spcAft>
              <a:spcPts val="0"/>
            </a:spcAft>
          </a:pPr>
          <a:r>
            <a:rPr lang="cs-CZ" sz="900" spc="-40">
              <a:solidFill>
                <a:srgbClr val="808080"/>
              </a:solidFill>
              <a:effectLst/>
              <a:latin typeface="Calibri" panose="020F0502020204030204" pitchFamily="34" charset="0"/>
              <a:ea typeface="Calibri" panose="020F0502020204030204" pitchFamily="34" charset="0"/>
              <a:cs typeface="Minion Pro"/>
            </a:rPr>
            <a:t>Tento projekt sa realizuje vďaka podpore z Európskeho sociálneho fondu </a:t>
          </a:r>
          <a:endParaRPr lang="sk-SK" sz="1200">
            <a:solidFill>
              <a:srgbClr val="000000"/>
            </a:solidFill>
            <a:effectLst/>
            <a:latin typeface="Minion Pro"/>
            <a:ea typeface="Calibri" panose="020F0502020204030204" pitchFamily="34" charset="0"/>
            <a:cs typeface="Minion Pro"/>
          </a:endParaRPr>
        </a:p>
        <a:p>
          <a:pPr algn="ctr">
            <a:lnSpc>
              <a:spcPct val="80000"/>
            </a:lnSpc>
            <a:spcAft>
              <a:spcPts val="0"/>
            </a:spcAft>
          </a:pPr>
          <a:r>
            <a:rPr lang="cs-CZ" sz="900" spc="-40">
              <a:solidFill>
                <a:srgbClr val="808080"/>
              </a:solidFill>
              <a:effectLst/>
              <a:latin typeface="Calibri" panose="020F0502020204030204" pitchFamily="34" charset="0"/>
              <a:ea typeface="Calibri" panose="020F0502020204030204" pitchFamily="34" charset="0"/>
              <a:cs typeface="Minion Pro"/>
            </a:rPr>
            <a:t>a Európskeho fondu regionálneho rozvoja v rámci Operačného programu Ľudské zdroje</a:t>
          </a:r>
          <a:endParaRPr lang="sk-SK" sz="1200">
            <a:solidFill>
              <a:srgbClr val="000000"/>
            </a:solidFill>
            <a:effectLst/>
            <a:latin typeface="Minion Pro"/>
            <a:ea typeface="Calibri" panose="020F0502020204030204" pitchFamily="34" charset="0"/>
            <a:cs typeface="Minion Pro"/>
          </a:endParaRPr>
        </a:p>
        <a:p>
          <a:pPr algn="ctr">
            <a:lnSpc>
              <a:spcPct val="120000"/>
            </a:lnSpc>
            <a:spcAft>
              <a:spcPts val="0"/>
            </a:spcAft>
          </a:pPr>
          <a:r>
            <a:rPr lang="cs-CZ" sz="1000" b="1" spc="-30">
              <a:solidFill>
                <a:srgbClr val="F16531"/>
              </a:solidFill>
              <a:effectLst/>
              <a:latin typeface="Calibri" panose="020F0502020204030204" pitchFamily="34" charset="0"/>
              <a:ea typeface="Calibri" panose="020F0502020204030204" pitchFamily="34" charset="0"/>
              <a:cs typeface="Minion Pro"/>
            </a:rPr>
            <a:t>www.minedu.sk    www.employment.gov.sk/sk/esf/    www.itakademia.sk</a:t>
          </a:r>
          <a:endParaRPr lang="sk-SK" sz="1200">
            <a:solidFill>
              <a:srgbClr val="000000"/>
            </a:solidFill>
            <a:effectLst/>
            <a:latin typeface="Minion Pro"/>
            <a:ea typeface="Calibri" panose="020F0502020204030204" pitchFamily="34" charset="0"/>
            <a:cs typeface="Minion Pro"/>
          </a:endParaRPr>
        </a:p>
      </xdr:txBody>
    </xdr:sp>
    <xdr:clientData/>
  </xdr:twoCellAnchor>
  <xdr:twoCellAnchor editAs="oneCell">
    <xdr:from>
      <xdr:col>7</xdr:col>
      <xdr:colOff>328930</xdr:colOff>
      <xdr:row>21</xdr:row>
      <xdr:rowOff>135255</xdr:rowOff>
    </xdr:from>
    <xdr:to>
      <xdr:col>8</xdr:col>
      <xdr:colOff>431165</xdr:colOff>
      <xdr:row>23</xdr:row>
      <xdr:rowOff>34925</xdr:rowOff>
    </xdr:to>
    <xdr:pic>
      <xdr:nvPicPr>
        <xdr:cNvPr id="12" name="Obrázok 1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96130" y="5431155"/>
          <a:ext cx="711835" cy="2235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333375</xdr:colOff>
          <xdr:row>12</xdr:row>
          <xdr:rowOff>76200</xdr:rowOff>
        </xdr:from>
        <xdr:to>
          <xdr:col>4</xdr:col>
          <xdr:colOff>685800</xdr:colOff>
          <xdr:row>14</xdr:row>
          <xdr:rowOff>47625</xdr:rowOff>
        </xdr:to>
        <xdr:sp macro="" textlink="">
          <xdr:nvSpPr>
            <xdr:cNvPr id="1025" name="CommandButton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11</xdr:row>
          <xdr:rowOff>19050</xdr:rowOff>
        </xdr:from>
        <xdr:to>
          <xdr:col>7</xdr:col>
          <xdr:colOff>762000</xdr:colOff>
          <xdr:row>12</xdr:row>
          <xdr:rowOff>133350</xdr:rowOff>
        </xdr:to>
        <xdr:sp macro="" textlink="">
          <xdr:nvSpPr>
            <xdr:cNvPr id="1026" name="CommandButton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14</xdr:row>
          <xdr:rowOff>28575</xdr:rowOff>
        </xdr:from>
        <xdr:to>
          <xdr:col>7</xdr:col>
          <xdr:colOff>752475</xdr:colOff>
          <xdr:row>15</xdr:row>
          <xdr:rowOff>133350</xdr:rowOff>
        </xdr:to>
        <xdr:sp macro="" textlink="">
          <xdr:nvSpPr>
            <xdr:cNvPr id="1027" name="CommandButton3"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400050</xdr:colOff>
          <xdr:row>21</xdr:row>
          <xdr:rowOff>95250</xdr:rowOff>
        </xdr:from>
        <xdr:to>
          <xdr:col>2</xdr:col>
          <xdr:colOff>457200</xdr:colOff>
          <xdr:row>23</xdr:row>
          <xdr:rowOff>47625</xdr:rowOff>
        </xdr:to>
        <xdr:sp macro="" textlink="">
          <xdr:nvSpPr>
            <xdr:cNvPr id="1028" name="CommandButton4"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219075</xdr:colOff>
          <xdr:row>6</xdr:row>
          <xdr:rowOff>0</xdr:rowOff>
        </xdr:from>
        <xdr:to>
          <xdr:col>7</xdr:col>
          <xdr:colOff>514350</xdr:colOff>
          <xdr:row>7</xdr:row>
          <xdr:rowOff>142875</xdr:rowOff>
        </xdr:to>
        <xdr:sp macro="" textlink="">
          <xdr:nvSpPr>
            <xdr:cNvPr id="2049" name="CommandButton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16</xdr:row>
          <xdr:rowOff>76200</xdr:rowOff>
        </xdr:from>
        <xdr:to>
          <xdr:col>3</xdr:col>
          <xdr:colOff>485775</xdr:colOff>
          <xdr:row>18</xdr:row>
          <xdr:rowOff>38100</xdr:rowOff>
        </xdr:to>
        <xdr:sp macro="" textlink="">
          <xdr:nvSpPr>
            <xdr:cNvPr id="2050" name="CommandButton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371475</xdr:colOff>
          <xdr:row>16</xdr:row>
          <xdr:rowOff>66675</xdr:rowOff>
        </xdr:from>
        <xdr:to>
          <xdr:col>3</xdr:col>
          <xdr:colOff>390525</xdr:colOff>
          <xdr:row>18</xdr:row>
          <xdr:rowOff>9525</xdr:rowOff>
        </xdr:to>
        <xdr:sp macro="" textlink="">
          <xdr:nvSpPr>
            <xdr:cNvPr id="3073" name="CommandButton1"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7</xdr:row>
          <xdr:rowOff>38100</xdr:rowOff>
        </xdr:from>
        <xdr:to>
          <xdr:col>8</xdr:col>
          <xdr:colOff>19050</xdr:colOff>
          <xdr:row>8</xdr:row>
          <xdr:rowOff>152400</xdr:rowOff>
        </xdr:to>
        <xdr:sp macro="" textlink="">
          <xdr:nvSpPr>
            <xdr:cNvPr id="3074" name="CommandButton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314325</xdr:colOff>
          <xdr:row>5</xdr:row>
          <xdr:rowOff>38100</xdr:rowOff>
        </xdr:from>
        <xdr:to>
          <xdr:col>7</xdr:col>
          <xdr:colOff>600075</xdr:colOff>
          <xdr:row>6</xdr:row>
          <xdr:rowOff>123825</xdr:rowOff>
        </xdr:to>
        <xdr:sp macro="" textlink="">
          <xdr:nvSpPr>
            <xdr:cNvPr id="4097" name="CommandButton1"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13</xdr:row>
          <xdr:rowOff>28575</xdr:rowOff>
        </xdr:from>
        <xdr:to>
          <xdr:col>3</xdr:col>
          <xdr:colOff>457200</xdr:colOff>
          <xdr:row>14</xdr:row>
          <xdr:rowOff>133350</xdr:rowOff>
        </xdr:to>
        <xdr:sp macro="" textlink="">
          <xdr:nvSpPr>
            <xdr:cNvPr id="4098" name="CommandButton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285750</xdr:colOff>
          <xdr:row>5</xdr:row>
          <xdr:rowOff>66675</xdr:rowOff>
        </xdr:from>
        <xdr:to>
          <xdr:col>9</xdr:col>
          <xdr:colOff>0</xdr:colOff>
          <xdr:row>7</xdr:row>
          <xdr:rowOff>28575</xdr:rowOff>
        </xdr:to>
        <xdr:sp macro="" textlink="">
          <xdr:nvSpPr>
            <xdr:cNvPr id="5121" name="CommandButton1"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57150</xdr:rowOff>
        </xdr:from>
        <xdr:to>
          <xdr:col>4</xdr:col>
          <xdr:colOff>0</xdr:colOff>
          <xdr:row>17</xdr:row>
          <xdr:rowOff>19050</xdr:rowOff>
        </xdr:to>
        <xdr:sp macro="" textlink="">
          <xdr:nvSpPr>
            <xdr:cNvPr id="5122" name="CommandButton2"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314325</xdr:colOff>
          <xdr:row>5</xdr:row>
          <xdr:rowOff>19050</xdr:rowOff>
        </xdr:from>
        <xdr:to>
          <xdr:col>9</xdr:col>
          <xdr:colOff>9525</xdr:colOff>
          <xdr:row>7</xdr:row>
          <xdr:rowOff>0</xdr:rowOff>
        </xdr:to>
        <xdr:sp macro="" textlink="">
          <xdr:nvSpPr>
            <xdr:cNvPr id="6145" name="CommandButton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304800</xdr:colOff>
          <xdr:row>14</xdr:row>
          <xdr:rowOff>95250</xdr:rowOff>
        </xdr:from>
        <xdr:to>
          <xdr:col>4</xdr:col>
          <xdr:colOff>476250</xdr:colOff>
          <xdr:row>16</xdr:row>
          <xdr:rowOff>76200</xdr:rowOff>
        </xdr:to>
        <xdr:sp macro="" textlink="">
          <xdr:nvSpPr>
            <xdr:cNvPr id="6146" name="CommandButton2" hidden="1">
              <a:extLst>
                <a:ext uri="{63B3BB69-23CF-44E3-9099-C40C66FF867C}">
                  <a14:compatExt spid="_x0000_s6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333375</xdr:colOff>
          <xdr:row>5</xdr:row>
          <xdr:rowOff>19050</xdr:rowOff>
        </xdr:from>
        <xdr:to>
          <xdr:col>8</xdr:col>
          <xdr:colOff>533400</xdr:colOff>
          <xdr:row>6</xdr:row>
          <xdr:rowOff>142875</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628650</xdr:colOff>
          <xdr:row>13</xdr:row>
          <xdr:rowOff>133350</xdr:rowOff>
        </xdr:from>
        <xdr:to>
          <xdr:col>4</xdr:col>
          <xdr:colOff>95250</xdr:colOff>
          <xdr:row>15</xdr:row>
          <xdr:rowOff>104775</xdr:rowOff>
        </xdr:to>
        <xdr:sp macro="" textlink="">
          <xdr:nvSpPr>
            <xdr:cNvPr id="7170" name="CommandButton2" hidden="1">
              <a:extLst>
                <a:ext uri="{63B3BB69-23CF-44E3-9099-C40C66FF867C}">
                  <a14:compatExt spid="_x0000_s71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409575</xdr:colOff>
          <xdr:row>5</xdr:row>
          <xdr:rowOff>47625</xdr:rowOff>
        </xdr:from>
        <xdr:to>
          <xdr:col>9</xdr:col>
          <xdr:colOff>19050</xdr:colOff>
          <xdr:row>7</xdr:row>
          <xdr:rowOff>0</xdr:rowOff>
        </xdr:to>
        <xdr:sp macro="" textlink="">
          <xdr:nvSpPr>
            <xdr:cNvPr id="8193" name="CommandButton1" hidden="1">
              <a:extLst>
                <a:ext uri="{63B3BB69-23CF-44E3-9099-C40C66FF867C}">
                  <a14:compatExt spid="_x0000_s8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Motív balíka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9.emf"/><Relationship Id="rId5" Type="http://schemas.openxmlformats.org/officeDocument/2006/relationships/image" Target="../media/image6.emf"/><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8.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11.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7.xml"/><Relationship Id="rId5" Type="http://schemas.openxmlformats.org/officeDocument/2006/relationships/image" Target="../media/image10.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3.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9.xml"/><Relationship Id="rId5" Type="http://schemas.openxmlformats.org/officeDocument/2006/relationships/image" Target="../media/image12.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15.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11.xml"/><Relationship Id="rId5" Type="http://schemas.openxmlformats.org/officeDocument/2006/relationships/image" Target="../media/image14.emf"/><Relationship Id="rId4" Type="http://schemas.openxmlformats.org/officeDocument/2006/relationships/control" Target="../activeX/activeX10.xml"/></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12.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image" Target="../media/image17.emf"/><Relationship Id="rId5" Type="http://schemas.openxmlformats.org/officeDocument/2006/relationships/control" Target="../activeX/activeX13.xml"/><Relationship Id="rId4" Type="http://schemas.openxmlformats.org/officeDocument/2006/relationships/image" Target="../media/image16.emf"/></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19.emf"/><Relationship Id="rId5" Type="http://schemas.openxmlformats.org/officeDocument/2006/relationships/control" Target="../activeX/activeX15.xml"/><Relationship Id="rId4" Type="http://schemas.openxmlformats.org/officeDocument/2006/relationships/image" Target="../media/image18.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16.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21.emf"/><Relationship Id="rId5" Type="http://schemas.openxmlformats.org/officeDocument/2006/relationships/control" Target="../activeX/activeX17.xml"/><Relationship Id="rId4" Type="http://schemas.openxmlformats.org/officeDocument/2006/relationships/image" Target="../media/image20.emf"/></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image" Target="../media/image22.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árok9"/>
  <dimension ref="C3:I16"/>
  <sheetViews>
    <sheetView showGridLines="0" tabSelected="1" workbookViewId="0"/>
  </sheetViews>
  <sheetFormatPr defaultRowHeight="12.75" x14ac:dyDescent="0.2"/>
  <cols>
    <col min="1" max="16384" width="9.140625" style="2"/>
  </cols>
  <sheetData>
    <row r="3" spans="3:9" ht="18" x14ac:dyDescent="0.25">
      <c r="D3" s="37" t="s">
        <v>51</v>
      </c>
      <c r="E3" s="37"/>
      <c r="F3" s="37"/>
      <c r="G3" s="37"/>
      <c r="H3" s="37"/>
    </row>
    <row r="5" spans="3:9" ht="51.75" customHeight="1" x14ac:dyDescent="0.2">
      <c r="C5" s="38" t="s">
        <v>52</v>
      </c>
      <c r="D5" s="38"/>
      <c r="E5" s="38"/>
      <c r="F5" s="38"/>
      <c r="G5" s="38"/>
      <c r="H5" s="38"/>
      <c r="I5" s="38"/>
    </row>
    <row r="7" spans="3:9" ht="78" customHeight="1" x14ac:dyDescent="0.2">
      <c r="C7" s="38" t="s">
        <v>53</v>
      </c>
      <c r="D7" s="38"/>
      <c r="E7" s="38"/>
      <c r="F7" s="38"/>
      <c r="G7" s="38"/>
      <c r="H7" s="38"/>
      <c r="I7" s="38"/>
    </row>
    <row r="9" spans="3:9" ht="52.5" customHeight="1" x14ac:dyDescent="0.2">
      <c r="C9" s="39" t="s">
        <v>54</v>
      </c>
      <c r="D9" s="39"/>
      <c r="E9" s="39"/>
      <c r="F9" s="39"/>
      <c r="G9" s="39"/>
      <c r="H9" s="39"/>
      <c r="I9" s="39"/>
    </row>
    <row r="15" spans="3:9" x14ac:dyDescent="0.2">
      <c r="C15" s="34" t="s">
        <v>56</v>
      </c>
      <c r="E15" s="40"/>
      <c r="F15" s="36"/>
      <c r="G15" s="36"/>
    </row>
    <row r="16" spans="3:9" x14ac:dyDescent="0.2">
      <c r="C16" s="34" t="s">
        <v>57</v>
      </c>
      <c r="E16" s="36"/>
      <c r="F16" s="36"/>
      <c r="G16" s="36"/>
    </row>
  </sheetData>
  <sheetProtection algorithmName="SHA-512" hashValue="d38WYZ7AZ7ry6yl7/WU9nHygAM4xo91QhWGNXcpzNVRiDAE3NVy8kBQxBLVTxlpTfkYL/zEB00E466amf0u/RA==" saltValue="P+SiN8vkpKTY9Uw5wCtwcg==" spinCount="100000" sheet="1" objects="1" scenarios="1"/>
  <mergeCells count="6">
    <mergeCell ref="E16:G16"/>
    <mergeCell ref="D3:H3"/>
    <mergeCell ref="C5:I5"/>
    <mergeCell ref="C7:I7"/>
    <mergeCell ref="C9:I9"/>
    <mergeCell ref="E15:G15"/>
  </mergeCells>
  <phoneticPr fontId="3" type="noConversion"/>
  <pageMargins left="0.75" right="0.75" top="1" bottom="1" header="0.4921259845" footer="0.4921259845"/>
  <pageSetup paperSize="9" orientation="portrait" verticalDpi="0" r:id="rId1"/>
  <headerFooter alignWithMargins="0"/>
  <drawing r:id="rId2"/>
  <legacyDrawing r:id="rId3"/>
  <controls>
    <mc:AlternateContent xmlns:mc="http://schemas.openxmlformats.org/markup-compatibility/2006">
      <mc:Choice Requires="x14">
        <control shapeId="9217" r:id="rId4" name="CommandButton1">
          <controlPr defaultSize="0" autoLine="0" r:id="rId5">
            <anchor moveWithCells="1">
              <from>
                <xdr:col>4</xdr:col>
                <xdr:colOff>285750</xdr:colOff>
                <xdr:row>10</xdr:row>
                <xdr:rowOff>152400</xdr:rowOff>
              </from>
              <to>
                <xdr:col>6</xdr:col>
                <xdr:colOff>28575</xdr:colOff>
                <xdr:row>12</xdr:row>
                <xdr:rowOff>152400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árok1"/>
  <dimension ref="A1:K25"/>
  <sheetViews>
    <sheetView showGridLines="0" workbookViewId="0">
      <selection sqref="A1:H1"/>
    </sheetView>
  </sheetViews>
  <sheetFormatPr defaultRowHeight="12.75" x14ac:dyDescent="0.2"/>
  <cols>
    <col min="1" max="1" width="11.7109375" style="2" customWidth="1"/>
    <col min="2" max="2" width="13.85546875" style="2" customWidth="1"/>
    <col min="3" max="3" width="13.28515625" style="2" customWidth="1"/>
    <col min="4" max="4" width="9.85546875" style="2" customWidth="1"/>
    <col min="5" max="5" width="14.7109375" style="2" customWidth="1"/>
    <col min="6" max="6" width="9.7109375" style="2" customWidth="1"/>
    <col min="7" max="7" width="10" style="2" customWidth="1"/>
    <col min="8" max="8" width="12.140625" style="2" customWidth="1"/>
    <col min="9" max="16384" width="9.140625" style="2"/>
  </cols>
  <sheetData>
    <row r="1" spans="1:11" ht="18" x14ac:dyDescent="0.25">
      <c r="A1" s="43" t="s">
        <v>0</v>
      </c>
      <c r="B1" s="44"/>
      <c r="C1" s="44"/>
      <c r="D1" s="44"/>
      <c r="E1" s="44"/>
      <c r="F1" s="44"/>
      <c r="G1" s="44"/>
      <c r="H1" s="44"/>
      <c r="I1" s="1"/>
      <c r="J1" s="1"/>
      <c r="K1" s="1"/>
    </row>
    <row r="3" spans="1:11" ht="52.5" customHeight="1" x14ac:dyDescent="0.2">
      <c r="A3" s="48" t="s">
        <v>59</v>
      </c>
      <c r="B3" s="41"/>
      <c r="C3" s="41"/>
      <c r="D3" s="41"/>
      <c r="E3" s="41"/>
      <c r="F3" s="41"/>
      <c r="G3" s="41"/>
      <c r="H3" s="41"/>
      <c r="I3" s="3"/>
      <c r="J3" s="3"/>
    </row>
    <row r="5" spans="1:11" ht="25.5" customHeight="1" x14ac:dyDescent="0.2">
      <c r="A5" s="42" t="s">
        <v>1</v>
      </c>
      <c r="B5" s="42"/>
      <c r="C5" s="42"/>
      <c r="D5" s="42"/>
      <c r="E5" s="42"/>
      <c r="F5" s="42"/>
      <c r="G5" s="42"/>
      <c r="H5" s="42"/>
      <c r="I5" s="3"/>
      <c r="J5" s="3"/>
    </row>
    <row r="7" spans="1:11" x14ac:dyDescent="0.2">
      <c r="A7" s="4" t="s">
        <v>2</v>
      </c>
      <c r="B7" s="5" t="s">
        <v>5</v>
      </c>
      <c r="C7" s="5" t="s">
        <v>6</v>
      </c>
      <c r="D7" s="5" t="s">
        <v>22</v>
      </c>
      <c r="E7" s="5" t="s">
        <v>7</v>
      </c>
      <c r="F7" s="5" t="s">
        <v>8</v>
      </c>
      <c r="G7" s="5" t="s">
        <v>9</v>
      </c>
      <c r="H7" s="5" t="s">
        <v>10</v>
      </c>
    </row>
    <row r="8" spans="1:11" x14ac:dyDescent="0.2">
      <c r="A8" s="4" t="s">
        <v>3</v>
      </c>
      <c r="B8" s="6">
        <v>30</v>
      </c>
      <c r="C8" s="6">
        <v>20</v>
      </c>
      <c r="D8" s="6">
        <v>14</v>
      </c>
      <c r="E8" s="6">
        <v>10</v>
      </c>
      <c r="F8" s="6">
        <v>9</v>
      </c>
      <c r="G8" s="6">
        <v>6</v>
      </c>
      <c r="H8" s="6">
        <v>1</v>
      </c>
    </row>
    <row r="9" spans="1:11" x14ac:dyDescent="0.2">
      <c r="A9" s="4" t="s">
        <v>4</v>
      </c>
      <c r="B9" s="14">
        <v>0</v>
      </c>
      <c r="C9" s="14">
        <v>0</v>
      </c>
      <c r="D9" s="14">
        <v>0</v>
      </c>
      <c r="E9" s="14">
        <v>0</v>
      </c>
      <c r="F9" s="14">
        <v>0</v>
      </c>
      <c r="G9" s="14">
        <v>0</v>
      </c>
      <c r="H9" s="14">
        <v>0</v>
      </c>
    </row>
    <row r="10" spans="1:11" x14ac:dyDescent="0.2">
      <c r="A10" s="7"/>
      <c r="B10" s="7">
        <f>IF(B9=1,B8,0)</f>
        <v>0</v>
      </c>
      <c r="C10" s="7">
        <f t="shared" ref="C10:H10" si="0">IF(C9=1,C8,0)</f>
        <v>0</v>
      </c>
      <c r="D10" s="7">
        <f t="shared" si="0"/>
        <v>0</v>
      </c>
      <c r="E10" s="7">
        <f t="shared" si="0"/>
        <v>0</v>
      </c>
      <c r="F10" s="7">
        <f t="shared" si="0"/>
        <v>0</v>
      </c>
      <c r="G10" s="7">
        <f t="shared" si="0"/>
        <v>0</v>
      </c>
      <c r="H10" s="7">
        <f t="shared" si="0"/>
        <v>0</v>
      </c>
      <c r="I10" s="7">
        <f>SUM(B10:H10)</f>
        <v>0</v>
      </c>
      <c r="J10" s="7">
        <f>COUNTIF(B9:H9,"=0")</f>
        <v>7</v>
      </c>
    </row>
    <row r="11" spans="1:11" x14ac:dyDescent="0.2">
      <c r="A11" s="7"/>
      <c r="B11" s="7">
        <f>IF(B9=2,B8,0)</f>
        <v>0</v>
      </c>
      <c r="C11" s="7">
        <f t="shared" ref="C11:H11" si="1">IF(C9=2,C8,0)</f>
        <v>0</v>
      </c>
      <c r="D11" s="7">
        <f t="shared" si="1"/>
        <v>0</v>
      </c>
      <c r="E11" s="7">
        <f t="shared" si="1"/>
        <v>0</v>
      </c>
      <c r="F11" s="7">
        <f t="shared" si="1"/>
        <v>0</v>
      </c>
      <c r="G11" s="7">
        <f t="shared" si="1"/>
        <v>0</v>
      </c>
      <c r="H11" s="7">
        <f t="shared" si="1"/>
        <v>0</v>
      </c>
      <c r="I11" s="7">
        <f>SUM(B11:H11)</f>
        <v>0</v>
      </c>
      <c r="J11" s="7"/>
    </row>
    <row r="12" spans="1:11" x14ac:dyDescent="0.2">
      <c r="B12" s="8"/>
      <c r="C12" s="9" t="s">
        <v>11</v>
      </c>
    </row>
    <row r="13" spans="1:11" x14ac:dyDescent="0.2">
      <c r="B13" s="10" t="s">
        <v>27</v>
      </c>
      <c r="C13" s="11">
        <f>I10</f>
        <v>0</v>
      </c>
    </row>
    <row r="14" spans="1:11" x14ac:dyDescent="0.2">
      <c r="B14" s="10" t="s">
        <v>28</v>
      </c>
      <c r="C14" s="11">
        <f>I11</f>
        <v>0</v>
      </c>
    </row>
    <row r="16" spans="1:11" x14ac:dyDescent="0.2">
      <c r="B16" s="12" t="s">
        <v>12</v>
      </c>
      <c r="C16" s="13" t="str">
        <f>IF(J10&lt;&gt;1,"nerozdelené",IF(3*C14=C13,"správne","nesprávne"))</f>
        <v>nerozdelené</v>
      </c>
    </row>
    <row r="19" spans="1:8" x14ac:dyDescent="0.2">
      <c r="A19" s="45" t="s">
        <v>26</v>
      </c>
      <c r="B19" s="45"/>
      <c r="C19" s="45"/>
      <c r="D19" s="45"/>
      <c r="E19" s="45"/>
      <c r="F19" s="45"/>
      <c r="G19" s="45"/>
    </row>
    <row r="21" spans="1:8" x14ac:dyDescent="0.2">
      <c r="E21" s="24" t="s">
        <v>29</v>
      </c>
      <c r="F21" s="24" t="s">
        <v>30</v>
      </c>
      <c r="G21" s="24" t="s">
        <v>31</v>
      </c>
      <c r="H21" s="24" t="s">
        <v>32</v>
      </c>
    </row>
    <row r="22" spans="1:8" x14ac:dyDescent="0.2">
      <c r="E22" s="29"/>
      <c r="F22" s="30"/>
      <c r="G22" s="30"/>
      <c r="H22" s="31"/>
    </row>
    <row r="23" spans="1:8" x14ac:dyDescent="0.2">
      <c r="E23" s="29"/>
      <c r="F23" s="30"/>
      <c r="G23" s="30"/>
      <c r="H23" s="31"/>
    </row>
    <row r="24" spans="1:8" x14ac:dyDescent="0.2">
      <c r="E24" s="29"/>
      <c r="F24" s="30"/>
      <c r="G24" s="30"/>
      <c r="H24" s="31"/>
    </row>
    <row r="25" spans="1:8" x14ac:dyDescent="0.2">
      <c r="E25" s="32"/>
      <c r="F25" s="32"/>
      <c r="G25" s="32"/>
      <c r="H25" s="32"/>
    </row>
  </sheetData>
  <sheetProtection algorithmName="SHA-512" hashValue="jnzbsOG4/jcJlJR2RqrQBCjl7bvDQ2ERitY4EKP3X6IeBYVHdPpipKOImr7i6iOt5EdA3OWlZB21cCqM3LU9vQ==" saltValue="qaO+yQWzpvrtG90XTM+jGg==" spinCount="100000" sheet="1" objects="1" scenarios="1"/>
  <mergeCells count="4">
    <mergeCell ref="A3:H3"/>
    <mergeCell ref="A5:H5"/>
    <mergeCell ref="A1:H1"/>
    <mergeCell ref="A19:G19"/>
  </mergeCells>
  <phoneticPr fontId="3" type="noConversion"/>
  <pageMargins left="0.75" right="0.75" top="1" bottom="1" header="0.4921259845" footer="0.4921259845"/>
  <pageSetup paperSize="9" orientation="portrait" verticalDpi="0" r:id="rId1"/>
  <headerFooter alignWithMargins="0"/>
  <drawing r:id="rId2"/>
  <legacyDrawing r:id="rId3"/>
  <controls>
    <mc:AlternateContent xmlns:mc="http://schemas.openxmlformats.org/markup-compatibility/2006">
      <mc:Choice Requires="x14">
        <control shapeId="1025" r:id="rId4" name="CommandButton1">
          <controlPr defaultSize="0" autoLine="0" r:id="rId5">
            <anchor moveWithCells="1">
              <from>
                <xdr:col>3</xdr:col>
                <xdr:colOff>333375</xdr:colOff>
                <xdr:row>12</xdr:row>
                <xdr:rowOff>76200</xdr:rowOff>
              </from>
              <to>
                <xdr:col>4</xdr:col>
                <xdr:colOff>685800</xdr:colOff>
                <xdr:row>14</xdr:row>
                <xdr:rowOff>47625</xdr:rowOff>
              </to>
            </anchor>
          </controlPr>
        </control>
      </mc:Choice>
      <mc:Fallback>
        <control shapeId="1025" r:id="rId4" name="CommandButton1"/>
      </mc:Fallback>
    </mc:AlternateContent>
    <mc:AlternateContent xmlns:mc="http://schemas.openxmlformats.org/markup-compatibility/2006">
      <mc:Choice Requires="x14">
        <control shapeId="1026" r:id="rId6" name="CommandButton2">
          <controlPr defaultSize="0" autoLine="0" r:id="rId7">
            <anchor moveWithCells="1">
              <from>
                <xdr:col>6</xdr:col>
                <xdr:colOff>238125</xdr:colOff>
                <xdr:row>11</xdr:row>
                <xdr:rowOff>19050</xdr:rowOff>
              </from>
              <to>
                <xdr:col>7</xdr:col>
                <xdr:colOff>762000</xdr:colOff>
                <xdr:row>12</xdr:row>
                <xdr:rowOff>133350</xdr:rowOff>
              </to>
            </anchor>
          </controlPr>
        </control>
      </mc:Choice>
      <mc:Fallback>
        <control shapeId="1026" r:id="rId6" name="CommandButton2"/>
      </mc:Fallback>
    </mc:AlternateContent>
    <mc:AlternateContent xmlns:mc="http://schemas.openxmlformats.org/markup-compatibility/2006">
      <mc:Choice Requires="x14">
        <control shapeId="1027" r:id="rId8" name="CommandButton3">
          <controlPr defaultSize="0" autoLine="0" r:id="rId9">
            <anchor moveWithCells="1">
              <from>
                <xdr:col>6</xdr:col>
                <xdr:colOff>247650</xdr:colOff>
                <xdr:row>14</xdr:row>
                <xdr:rowOff>28575</xdr:rowOff>
              </from>
              <to>
                <xdr:col>7</xdr:col>
                <xdr:colOff>752475</xdr:colOff>
                <xdr:row>15</xdr:row>
                <xdr:rowOff>133350</xdr:rowOff>
              </to>
            </anchor>
          </controlPr>
        </control>
      </mc:Choice>
      <mc:Fallback>
        <control shapeId="1027" r:id="rId8" name="CommandButton3"/>
      </mc:Fallback>
    </mc:AlternateContent>
    <mc:AlternateContent xmlns:mc="http://schemas.openxmlformats.org/markup-compatibility/2006">
      <mc:Choice Requires="x14">
        <control shapeId="1028" r:id="rId10" name="CommandButton4">
          <controlPr defaultSize="0" autoLine="0" r:id="rId11">
            <anchor moveWithCells="1">
              <from>
                <xdr:col>1</xdr:col>
                <xdr:colOff>400050</xdr:colOff>
                <xdr:row>21</xdr:row>
                <xdr:rowOff>95250</xdr:rowOff>
              </from>
              <to>
                <xdr:col>2</xdr:col>
                <xdr:colOff>457200</xdr:colOff>
                <xdr:row>23</xdr:row>
                <xdr:rowOff>47625</xdr:rowOff>
              </to>
            </anchor>
          </controlPr>
        </control>
      </mc:Choice>
      <mc:Fallback>
        <control shapeId="1028" r:id="rId10" name="CommandButton4"/>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árok2"/>
  <dimension ref="A1:I14"/>
  <sheetViews>
    <sheetView showGridLines="0" workbookViewId="0">
      <selection activeCell="A2" sqref="A2"/>
    </sheetView>
  </sheetViews>
  <sheetFormatPr defaultRowHeight="12.75" x14ac:dyDescent="0.2"/>
  <cols>
    <col min="1" max="2" width="9.140625" style="2"/>
    <col min="3" max="3" width="12" style="2" customWidth="1"/>
    <col min="4" max="4" width="13.5703125" style="2" customWidth="1"/>
    <col min="5" max="5" width="9.140625" style="2"/>
    <col min="6" max="6" width="14.85546875" style="2" bestFit="1" customWidth="1"/>
    <col min="7" max="8" width="9.140625" style="2"/>
    <col min="9" max="9" width="13.5703125" style="2" customWidth="1"/>
    <col min="10" max="16384" width="9.140625" style="2"/>
  </cols>
  <sheetData>
    <row r="1" spans="1:9" ht="18" x14ac:dyDescent="0.25">
      <c r="A1" s="46" t="s">
        <v>13</v>
      </c>
      <c r="B1" s="46"/>
      <c r="C1" s="46"/>
      <c r="D1" s="46"/>
      <c r="E1" s="46"/>
      <c r="F1" s="46"/>
      <c r="G1" s="46"/>
      <c r="H1" s="46"/>
      <c r="I1" s="46"/>
    </row>
    <row r="3" spans="1:9" x14ac:dyDescent="0.2">
      <c r="A3" s="47" t="s">
        <v>55</v>
      </c>
      <c r="B3" s="41"/>
      <c r="C3" s="41"/>
      <c r="D3" s="41"/>
      <c r="E3" s="41"/>
      <c r="F3" s="41"/>
      <c r="G3" s="41"/>
      <c r="H3" s="41"/>
      <c r="I3" s="41"/>
    </row>
    <row r="5" spans="1:9" x14ac:dyDescent="0.2">
      <c r="C5" s="5" t="s">
        <v>20</v>
      </c>
      <c r="D5" s="5" t="s">
        <v>14</v>
      </c>
      <c r="E5" s="35"/>
      <c r="F5" s="35"/>
    </row>
    <row r="6" spans="1:9" x14ac:dyDescent="0.2">
      <c r="C6" s="6" t="s">
        <v>15</v>
      </c>
      <c r="D6" s="16"/>
      <c r="E6" s="35">
        <f>IF(OR(D6&lt;=50,MOD(D6,4)&gt;0),0,1)</f>
        <v>0</v>
      </c>
      <c r="F6" s="35"/>
    </row>
    <row r="7" spans="1:9" x14ac:dyDescent="0.2">
      <c r="C7" s="6" t="s">
        <v>16</v>
      </c>
      <c r="D7" s="16"/>
      <c r="E7" s="35">
        <f>IF(OR(D7&lt;=50,MOD(D7,4)&gt;0),0,1)</f>
        <v>0</v>
      </c>
      <c r="F7" s="35"/>
    </row>
    <row r="8" spans="1:9" x14ac:dyDescent="0.2">
      <c r="C8" s="6" t="s">
        <v>17</v>
      </c>
      <c r="D8" s="16"/>
      <c r="E8" s="35">
        <f>IF(OR(D8&lt;=50,MOD(D8,4)&gt;0),0,1)</f>
        <v>0</v>
      </c>
      <c r="F8" s="35"/>
    </row>
    <row r="9" spans="1:9" x14ac:dyDescent="0.2">
      <c r="C9" s="6" t="s">
        <v>18</v>
      </c>
      <c r="D9" s="16"/>
      <c r="E9" s="35">
        <f>IF(OR(D9&lt;=50,MOD(D9,4)&gt;0),0,1)</f>
        <v>0</v>
      </c>
      <c r="F9" s="35"/>
    </row>
    <row r="10" spans="1:9" x14ac:dyDescent="0.2">
      <c r="C10" s="6" t="s">
        <v>19</v>
      </c>
      <c r="D10" s="16"/>
      <c r="E10" s="35">
        <f>IF(OR(D10&lt;=50,MOD(D10,4)&gt;0),0,1)</f>
        <v>0</v>
      </c>
      <c r="F10" s="35">
        <f>MODE(D6:D13)</f>
        <v>1</v>
      </c>
    </row>
    <row r="11" spans="1:9" x14ac:dyDescent="0.2">
      <c r="C11" s="18"/>
      <c r="D11" s="19"/>
      <c r="E11" s="35">
        <f>SUM(E6:E10)</f>
        <v>0</v>
      </c>
      <c r="F11" s="35"/>
    </row>
    <row r="12" spans="1:9" x14ac:dyDescent="0.2">
      <c r="C12" s="18"/>
      <c r="D12" s="20">
        <v>1</v>
      </c>
      <c r="E12" s="35"/>
      <c r="F12" s="35"/>
    </row>
    <row r="13" spans="1:9" x14ac:dyDescent="0.2">
      <c r="D13" s="7">
        <v>1</v>
      </c>
      <c r="E13" s="34"/>
      <c r="F13" s="34"/>
    </row>
    <row r="14" spans="1:9" x14ac:dyDescent="0.2">
      <c r="C14" s="15" t="s">
        <v>21</v>
      </c>
      <c r="D14" s="13" t="str">
        <f>IF(D10="","nevyplnené",IF(OR(F10&gt;50,E11&lt;5),"nesprávne","správne"))</f>
        <v>nevyplnené</v>
      </c>
      <c r="E14" s="7"/>
      <c r="F14" s="7"/>
    </row>
  </sheetData>
  <sheetProtection algorithmName="SHA-512" hashValue="ZUMHcNfX5K8crb3iLSufJzCEHldh77AWcv2TIJla9v/yUBJyXO4p6XbRfwurceQq89ki5hJJFDW7gag7HRw9mw==" saltValue="zMyyH3gy1/gk0O+5QMpPzw==" spinCount="100000" sheet="1" objects="1" scenarios="1"/>
  <mergeCells count="2">
    <mergeCell ref="A1:I1"/>
    <mergeCell ref="A3:I3"/>
  </mergeCells>
  <phoneticPr fontId="3" type="noConversion"/>
  <pageMargins left="0.75" right="0.75" top="1" bottom="1" header="0.4921259845" footer="0.4921259845"/>
  <pageSetup paperSize="9" orientation="portrait" verticalDpi="0" r:id="rId1"/>
  <headerFooter alignWithMargins="0"/>
  <drawing r:id="rId2"/>
  <legacyDrawing r:id="rId3"/>
  <controls>
    <mc:AlternateContent xmlns:mc="http://schemas.openxmlformats.org/markup-compatibility/2006">
      <mc:Choice Requires="x14">
        <control shapeId="2049" r:id="rId4" name="CommandButton1">
          <controlPr autoLine="0" r:id="rId5">
            <anchor moveWithCells="1">
              <from>
                <xdr:col>6</xdr:col>
                <xdr:colOff>219075</xdr:colOff>
                <xdr:row>6</xdr:row>
                <xdr:rowOff>0</xdr:rowOff>
              </from>
              <to>
                <xdr:col>7</xdr:col>
                <xdr:colOff>514350</xdr:colOff>
                <xdr:row>7</xdr:row>
                <xdr:rowOff>142875</xdr:rowOff>
              </to>
            </anchor>
          </controlPr>
        </control>
      </mc:Choice>
      <mc:Fallback>
        <control shapeId="2049" r:id="rId4" name="CommandButton1"/>
      </mc:Fallback>
    </mc:AlternateContent>
    <mc:AlternateContent xmlns:mc="http://schemas.openxmlformats.org/markup-compatibility/2006">
      <mc:Choice Requires="x14">
        <control shapeId="2050" r:id="rId6" name="CommandButton2">
          <controlPr defaultSize="0" autoLine="0" r:id="rId7">
            <anchor moveWithCells="1">
              <from>
                <xdr:col>2</xdr:col>
                <xdr:colOff>304800</xdr:colOff>
                <xdr:row>16</xdr:row>
                <xdr:rowOff>76200</xdr:rowOff>
              </from>
              <to>
                <xdr:col>3</xdr:col>
                <xdr:colOff>485775</xdr:colOff>
                <xdr:row>18</xdr:row>
                <xdr:rowOff>38100</xdr:rowOff>
              </to>
            </anchor>
          </controlPr>
        </control>
      </mc:Choice>
      <mc:Fallback>
        <control shapeId="2050" r:id="rId6"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árok3"/>
  <dimension ref="A1:I14"/>
  <sheetViews>
    <sheetView showGridLines="0" workbookViewId="0">
      <selection activeCell="A2" sqref="A2"/>
    </sheetView>
  </sheetViews>
  <sheetFormatPr defaultRowHeight="12.75" x14ac:dyDescent="0.2"/>
  <cols>
    <col min="1" max="2" width="9.140625" style="2"/>
    <col min="3" max="3" width="11.5703125" style="2" customWidth="1"/>
    <col min="4" max="4" width="16.42578125" style="2" customWidth="1"/>
    <col min="5" max="16384" width="9.140625" style="2"/>
  </cols>
  <sheetData>
    <row r="1" spans="1:9" ht="18" x14ac:dyDescent="0.25">
      <c r="A1" s="37" t="s">
        <v>23</v>
      </c>
      <c r="B1" s="37"/>
      <c r="C1" s="37"/>
      <c r="D1" s="37"/>
      <c r="E1" s="37"/>
      <c r="F1" s="37"/>
      <c r="G1" s="37"/>
      <c r="H1" s="37"/>
      <c r="I1" s="37"/>
    </row>
    <row r="3" spans="1:9" ht="27.75" customHeight="1" x14ac:dyDescent="0.2">
      <c r="A3" s="48" t="s">
        <v>25</v>
      </c>
      <c r="B3" s="48"/>
      <c r="C3" s="48"/>
      <c r="D3" s="48"/>
      <c r="E3" s="48"/>
      <c r="F3" s="48"/>
      <c r="G3" s="48"/>
      <c r="H3" s="48"/>
      <c r="I3" s="48"/>
    </row>
    <row r="6" spans="1:9" x14ac:dyDescent="0.2">
      <c r="C6" s="5" t="s">
        <v>14</v>
      </c>
      <c r="D6" s="5" t="s">
        <v>24</v>
      </c>
    </row>
    <row r="7" spans="1:9" x14ac:dyDescent="0.2">
      <c r="C7" s="6">
        <v>63</v>
      </c>
      <c r="D7" s="22"/>
      <c r="E7" s="7">
        <f>IF(D7="n",1,0)</f>
        <v>0</v>
      </c>
    </row>
    <row r="8" spans="1:9" x14ac:dyDescent="0.2">
      <c r="C8" s="6">
        <v>88</v>
      </c>
      <c r="D8" s="22"/>
      <c r="E8" s="7">
        <f>IF(D8="a",1,0)</f>
        <v>0</v>
      </c>
    </row>
    <row r="9" spans="1:9" x14ac:dyDescent="0.2">
      <c r="C9" s="6">
        <v>204</v>
      </c>
      <c r="D9" s="22"/>
      <c r="E9" s="7">
        <f>IF(D9="a",1,0)</f>
        <v>0</v>
      </c>
    </row>
    <row r="10" spans="1:9" x14ac:dyDescent="0.2">
      <c r="C10" s="6">
        <v>314</v>
      </c>
      <c r="D10" s="22"/>
      <c r="E10" s="7">
        <f>IF(D10="n",1,0)</f>
        <v>0</v>
      </c>
    </row>
    <row r="11" spans="1:9" x14ac:dyDescent="0.2">
      <c r="C11" s="6">
        <v>500</v>
      </c>
      <c r="D11" s="22"/>
      <c r="E11" s="7">
        <f>IF(D11="a",1,0)</f>
        <v>0</v>
      </c>
    </row>
    <row r="12" spans="1:9" x14ac:dyDescent="0.2">
      <c r="E12" s="7">
        <f>SUM(E7:E11)</f>
        <v>0</v>
      </c>
    </row>
    <row r="14" spans="1:9" x14ac:dyDescent="0.2">
      <c r="C14" s="12" t="s">
        <v>21</v>
      </c>
      <c r="D14" s="21" t="str">
        <f>IF(D11="","nevyplnené",IF(E12=5,"správne","nesprávne"))</f>
        <v>nevyplnené</v>
      </c>
    </row>
  </sheetData>
  <sheetProtection password="DCF7" sheet="1" objects="1" scenarios="1"/>
  <mergeCells count="2">
    <mergeCell ref="A1:I1"/>
    <mergeCell ref="A3:I3"/>
  </mergeCells>
  <phoneticPr fontId="3" type="noConversion"/>
  <pageMargins left="0.75" right="0.75" top="1" bottom="1" header="0.4921259845" footer="0.4921259845"/>
  <pageSetup paperSize="9" orientation="portrait" verticalDpi="0" r:id="rId1"/>
  <headerFooter alignWithMargins="0"/>
  <ignoredErrors>
    <ignoredError sqref="E10" formula="1"/>
  </ignoredErrors>
  <drawing r:id="rId2"/>
  <legacyDrawing r:id="rId3"/>
  <controls>
    <mc:AlternateContent xmlns:mc="http://schemas.openxmlformats.org/markup-compatibility/2006">
      <mc:Choice Requires="x14">
        <control shapeId="3073" r:id="rId4" name="CommandButton1">
          <controlPr defaultSize="0" autoLine="0" r:id="rId5">
            <anchor moveWithCells="1">
              <from>
                <xdr:col>2</xdr:col>
                <xdr:colOff>371475</xdr:colOff>
                <xdr:row>16</xdr:row>
                <xdr:rowOff>66675</xdr:rowOff>
              </from>
              <to>
                <xdr:col>3</xdr:col>
                <xdr:colOff>390525</xdr:colOff>
                <xdr:row>18</xdr:row>
                <xdr:rowOff>9525</xdr:rowOff>
              </to>
            </anchor>
          </controlPr>
        </control>
      </mc:Choice>
      <mc:Fallback>
        <control shapeId="3073" r:id="rId4" name="CommandButton1"/>
      </mc:Fallback>
    </mc:AlternateContent>
    <mc:AlternateContent xmlns:mc="http://schemas.openxmlformats.org/markup-compatibility/2006">
      <mc:Choice Requires="x14">
        <control shapeId="3074" r:id="rId6" name="CommandButton2">
          <controlPr defaultSize="0" autoLine="0" r:id="rId7">
            <anchor moveWithCells="1">
              <from>
                <xdr:col>6</xdr:col>
                <xdr:colOff>361950</xdr:colOff>
                <xdr:row>7</xdr:row>
                <xdr:rowOff>38100</xdr:rowOff>
              </from>
              <to>
                <xdr:col>8</xdr:col>
                <xdr:colOff>19050</xdr:colOff>
                <xdr:row>8</xdr:row>
                <xdr:rowOff>152400</xdr:rowOff>
              </to>
            </anchor>
          </controlPr>
        </control>
      </mc:Choice>
      <mc:Fallback>
        <control shapeId="3074" r:id="rId6" name="CommandButton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árok4"/>
  <dimension ref="A1:I10"/>
  <sheetViews>
    <sheetView showGridLines="0" workbookViewId="0">
      <selection activeCell="A2" sqref="A2"/>
    </sheetView>
  </sheetViews>
  <sheetFormatPr defaultRowHeight="12.75" x14ac:dyDescent="0.2"/>
  <cols>
    <col min="1" max="2" width="9.140625" style="2"/>
    <col min="3" max="3" width="16.5703125" style="2" customWidth="1"/>
    <col min="4" max="4" width="12.85546875" style="2" customWidth="1"/>
    <col min="5" max="5" width="15.85546875" style="2" customWidth="1"/>
    <col min="6" max="16384" width="9.140625" style="2"/>
  </cols>
  <sheetData>
    <row r="1" spans="1:9" ht="18" x14ac:dyDescent="0.25">
      <c r="A1" s="43" t="s">
        <v>33</v>
      </c>
      <c r="B1" s="43"/>
      <c r="C1" s="43"/>
      <c r="D1" s="43"/>
      <c r="E1" s="43"/>
      <c r="F1" s="43"/>
      <c r="G1" s="43"/>
      <c r="H1" s="43"/>
      <c r="I1" s="23"/>
    </row>
    <row r="3" spans="1:9" ht="26.25" customHeight="1" x14ac:dyDescent="0.2">
      <c r="A3" s="48" t="s">
        <v>58</v>
      </c>
      <c r="B3" s="41"/>
      <c r="C3" s="41"/>
      <c r="D3" s="41"/>
      <c r="E3" s="41"/>
      <c r="F3" s="41"/>
      <c r="G3" s="41"/>
      <c r="H3" s="41"/>
      <c r="I3" s="3"/>
    </row>
    <row r="5" spans="1:9" x14ac:dyDescent="0.2">
      <c r="F5" s="17"/>
    </row>
    <row r="6" spans="1:9" x14ac:dyDescent="0.2">
      <c r="C6" s="5" t="s">
        <v>34</v>
      </c>
      <c r="D6" s="5" t="s">
        <v>35</v>
      </c>
      <c r="E6" s="5" t="s">
        <v>36</v>
      </c>
      <c r="F6" s="7">
        <f>IF(OR(D7=80,D7=84,D7=88),1,2)</f>
        <v>2</v>
      </c>
    </row>
    <row r="7" spans="1:9" x14ac:dyDescent="0.2">
      <c r="C7" s="25" t="s">
        <v>37</v>
      </c>
      <c r="D7" s="22"/>
      <c r="E7" s="22"/>
      <c r="F7" s="7">
        <f>IF(AND(F6=1,E7=3),1,2)</f>
        <v>2</v>
      </c>
    </row>
    <row r="8" spans="1:9" x14ac:dyDescent="0.2">
      <c r="F8" s="17"/>
    </row>
    <row r="10" spans="1:9" x14ac:dyDescent="0.2">
      <c r="C10" s="12" t="s">
        <v>21</v>
      </c>
      <c r="D10" s="13" t="str">
        <f>IF(E7="","nevyplnené",IF(F7=1,"správne","nesprávne"))</f>
        <v>nevyplnené</v>
      </c>
    </row>
  </sheetData>
  <sheetProtection password="DCF7" sheet="1" objects="1" scenarios="1"/>
  <mergeCells count="2">
    <mergeCell ref="A3:H3"/>
    <mergeCell ref="A1:H1"/>
  </mergeCells>
  <phoneticPr fontId="3" type="noConversion"/>
  <pageMargins left="0.75" right="0.75" top="1" bottom="1" header="0.4921259845" footer="0.4921259845"/>
  <pageSetup paperSize="9" orientation="portrait" verticalDpi="0" r:id="rId1"/>
  <headerFooter alignWithMargins="0"/>
  <drawing r:id="rId2"/>
  <legacyDrawing r:id="rId3"/>
  <controls>
    <mc:AlternateContent xmlns:mc="http://schemas.openxmlformats.org/markup-compatibility/2006">
      <mc:Choice Requires="x14">
        <control shapeId="4097" r:id="rId4" name="CommandButton1">
          <controlPr defaultSize="0" autoLine="0" r:id="rId5">
            <anchor moveWithCells="1">
              <from>
                <xdr:col>6</xdr:col>
                <xdr:colOff>314325</xdr:colOff>
                <xdr:row>5</xdr:row>
                <xdr:rowOff>38100</xdr:rowOff>
              </from>
              <to>
                <xdr:col>7</xdr:col>
                <xdr:colOff>600075</xdr:colOff>
                <xdr:row>6</xdr:row>
                <xdr:rowOff>123825</xdr:rowOff>
              </to>
            </anchor>
          </controlPr>
        </control>
      </mc:Choice>
      <mc:Fallback>
        <control shapeId="4097" r:id="rId4" name="CommandButton1"/>
      </mc:Fallback>
    </mc:AlternateContent>
    <mc:AlternateContent xmlns:mc="http://schemas.openxmlformats.org/markup-compatibility/2006">
      <mc:Choice Requires="x14">
        <control shapeId="4098" r:id="rId6" name="CommandButton2">
          <controlPr defaultSize="0" autoLine="0" r:id="rId7">
            <anchor moveWithCells="1">
              <from>
                <xdr:col>2</xdr:col>
                <xdr:colOff>571500</xdr:colOff>
                <xdr:row>13</xdr:row>
                <xdr:rowOff>28575</xdr:rowOff>
              </from>
              <to>
                <xdr:col>3</xdr:col>
                <xdr:colOff>457200</xdr:colOff>
                <xdr:row>14</xdr:row>
                <xdr:rowOff>133350</xdr:rowOff>
              </to>
            </anchor>
          </controlPr>
        </control>
      </mc:Choice>
      <mc:Fallback>
        <control shapeId="4098" r:id="rId6" name="CommandButton2"/>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árok5"/>
  <dimension ref="A1:I10"/>
  <sheetViews>
    <sheetView showGridLines="0" workbookViewId="0">
      <selection activeCell="A2" sqref="A2"/>
    </sheetView>
  </sheetViews>
  <sheetFormatPr defaultRowHeight="12.75" x14ac:dyDescent="0.2"/>
  <cols>
    <col min="1" max="2" width="9.140625" style="2"/>
    <col min="3" max="3" width="10.28515625" style="2" customWidth="1"/>
    <col min="4" max="4" width="11.42578125" style="2" customWidth="1"/>
    <col min="5" max="5" width="15.140625" style="2" customWidth="1"/>
    <col min="6" max="16384" width="9.140625" style="2"/>
  </cols>
  <sheetData>
    <row r="1" spans="1:9" ht="18" x14ac:dyDescent="0.25">
      <c r="A1" s="43" t="s">
        <v>38</v>
      </c>
      <c r="B1" s="43"/>
      <c r="C1" s="43"/>
      <c r="D1" s="43"/>
      <c r="E1" s="43"/>
      <c r="F1" s="43"/>
      <c r="G1" s="43"/>
      <c r="H1" s="43"/>
      <c r="I1" s="43"/>
    </row>
    <row r="3" spans="1:9" ht="26.25" customHeight="1" x14ac:dyDescent="0.2">
      <c r="A3" s="41" t="s">
        <v>39</v>
      </c>
      <c r="B3" s="41"/>
      <c r="C3" s="41"/>
      <c r="D3" s="41"/>
      <c r="E3" s="41"/>
      <c r="F3" s="41"/>
      <c r="G3" s="41"/>
      <c r="H3" s="41"/>
      <c r="I3" s="41"/>
    </row>
    <row r="6" spans="1:9" x14ac:dyDescent="0.2">
      <c r="C6" s="5" t="s">
        <v>43</v>
      </c>
      <c r="D6" s="5" t="s">
        <v>44</v>
      </c>
      <c r="E6" s="5" t="s">
        <v>36</v>
      </c>
      <c r="F6" s="7">
        <f>IF(OR(D7=2,D7=6),1,2)</f>
        <v>2</v>
      </c>
    </row>
    <row r="7" spans="1:9" x14ac:dyDescent="0.2">
      <c r="C7" s="22"/>
      <c r="D7" s="22"/>
      <c r="E7" s="22"/>
      <c r="F7" s="7">
        <f>IF(AND(C7="c",F6=1,E7=5),1,2)</f>
        <v>2</v>
      </c>
    </row>
    <row r="10" spans="1:9" x14ac:dyDescent="0.2">
      <c r="D10" s="12" t="s">
        <v>21</v>
      </c>
      <c r="E10" s="21" t="str">
        <f>IF(E7="","nevyplnené",IF(F7=1,"správne","nesprávne"))</f>
        <v>nevyplnené</v>
      </c>
    </row>
  </sheetData>
  <sheetProtection password="DCF7" sheet="1" objects="1" scenarios="1"/>
  <mergeCells count="2">
    <mergeCell ref="A1:I1"/>
    <mergeCell ref="A3:I3"/>
  </mergeCells>
  <phoneticPr fontId="3" type="noConversion"/>
  <pageMargins left="0.75" right="0.75" top="1" bottom="1" header="0.4921259845" footer="0.4921259845"/>
  <headerFooter alignWithMargins="0"/>
  <drawing r:id="rId1"/>
  <legacyDrawing r:id="rId2"/>
  <controls>
    <mc:AlternateContent xmlns:mc="http://schemas.openxmlformats.org/markup-compatibility/2006">
      <mc:Choice Requires="x14">
        <control shapeId="5121" r:id="rId3" name="CommandButton1">
          <controlPr defaultSize="0" autoLine="0" r:id="rId4">
            <anchor moveWithCells="1">
              <from>
                <xdr:col>7</xdr:col>
                <xdr:colOff>285750</xdr:colOff>
                <xdr:row>5</xdr:row>
                <xdr:rowOff>66675</xdr:rowOff>
              </from>
              <to>
                <xdr:col>9</xdr:col>
                <xdr:colOff>0</xdr:colOff>
                <xdr:row>7</xdr:row>
                <xdr:rowOff>28575</xdr:rowOff>
              </to>
            </anchor>
          </controlPr>
        </control>
      </mc:Choice>
      <mc:Fallback>
        <control shapeId="5121" r:id="rId3" name="CommandButton1"/>
      </mc:Fallback>
    </mc:AlternateContent>
    <mc:AlternateContent xmlns:mc="http://schemas.openxmlformats.org/markup-compatibility/2006">
      <mc:Choice Requires="x14">
        <control shapeId="5122" r:id="rId5" name="CommandButton2">
          <controlPr defaultSize="0" autoLine="0" r:id="rId6">
            <anchor moveWithCells="1">
              <from>
                <xdr:col>2</xdr:col>
                <xdr:colOff>533400</xdr:colOff>
                <xdr:row>15</xdr:row>
                <xdr:rowOff>57150</xdr:rowOff>
              </from>
              <to>
                <xdr:col>4</xdr:col>
                <xdr:colOff>0</xdr:colOff>
                <xdr:row>17</xdr:row>
                <xdr:rowOff>19050</xdr:rowOff>
              </to>
            </anchor>
          </controlPr>
        </control>
      </mc:Choice>
      <mc:Fallback>
        <control shapeId="5122" r:id="rId5" name="Command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árok6"/>
  <dimension ref="A1:I10"/>
  <sheetViews>
    <sheetView showGridLines="0" workbookViewId="0">
      <selection activeCell="A2" sqref="A2"/>
    </sheetView>
  </sheetViews>
  <sheetFormatPr defaultRowHeight="12.75" x14ac:dyDescent="0.2"/>
  <cols>
    <col min="1" max="3" width="9.140625" style="2"/>
    <col min="4" max="4" width="12" style="2" customWidth="1"/>
    <col min="5" max="5" width="14.85546875" style="2" customWidth="1"/>
    <col min="6" max="16384" width="9.140625" style="2"/>
  </cols>
  <sheetData>
    <row r="1" spans="1:9" ht="18" x14ac:dyDescent="0.25">
      <c r="A1" s="43" t="s">
        <v>40</v>
      </c>
      <c r="B1" s="43"/>
      <c r="C1" s="43"/>
      <c r="D1" s="43"/>
      <c r="E1" s="43"/>
      <c r="F1" s="43"/>
      <c r="G1" s="43"/>
      <c r="H1" s="43"/>
      <c r="I1" s="43"/>
    </row>
    <row r="3" spans="1:9" ht="27" customHeight="1" x14ac:dyDescent="0.2">
      <c r="A3" s="41" t="s">
        <v>41</v>
      </c>
      <c r="B3" s="41"/>
      <c r="C3" s="41"/>
      <c r="D3" s="41"/>
      <c r="E3" s="41"/>
      <c r="F3" s="41"/>
      <c r="G3" s="41"/>
      <c r="H3" s="41"/>
      <c r="I3" s="41"/>
    </row>
    <row r="6" spans="1:9" x14ac:dyDescent="0.2">
      <c r="C6" s="5" t="s">
        <v>42</v>
      </c>
      <c r="D6" s="5" t="s">
        <v>43</v>
      </c>
      <c r="E6" s="5" t="s">
        <v>44</v>
      </c>
    </row>
    <row r="7" spans="1:9" x14ac:dyDescent="0.2">
      <c r="C7" s="26">
        <v>1</v>
      </c>
      <c r="D7" s="22"/>
      <c r="E7" s="22"/>
      <c r="F7" s="7">
        <f>IF(OR(D7="",E7=""),2,IF(MOD(D7*10+E7,4)=0,1,2))</f>
        <v>2</v>
      </c>
    </row>
    <row r="10" spans="1:9" x14ac:dyDescent="0.2">
      <c r="D10" s="12" t="s">
        <v>21</v>
      </c>
      <c r="E10" s="21" t="str">
        <f>IF(OR(D7="",E7=""),"nevyplnené",IF(F7=1,"správne","nesprávne"))</f>
        <v>nevyplnené</v>
      </c>
    </row>
  </sheetData>
  <sheetProtection password="DCF7" sheet="1" objects="1" scenarios="1"/>
  <mergeCells count="2">
    <mergeCell ref="A1:I1"/>
    <mergeCell ref="A3:I3"/>
  </mergeCells>
  <phoneticPr fontId="3" type="noConversion"/>
  <pageMargins left="0.75" right="0.75" top="1" bottom="1" header="0.4921259845" footer="0.4921259845"/>
  <headerFooter alignWithMargins="0"/>
  <drawing r:id="rId1"/>
  <legacyDrawing r:id="rId2"/>
  <controls>
    <mc:AlternateContent xmlns:mc="http://schemas.openxmlformats.org/markup-compatibility/2006">
      <mc:Choice Requires="x14">
        <control shapeId="6145" r:id="rId3" name="CommandButton1">
          <controlPr defaultSize="0" autoLine="0" r:id="rId4">
            <anchor moveWithCells="1">
              <from>
                <xdr:col>7</xdr:col>
                <xdr:colOff>314325</xdr:colOff>
                <xdr:row>5</xdr:row>
                <xdr:rowOff>19050</xdr:rowOff>
              </from>
              <to>
                <xdr:col>9</xdr:col>
                <xdr:colOff>9525</xdr:colOff>
                <xdr:row>7</xdr:row>
                <xdr:rowOff>0</xdr:rowOff>
              </to>
            </anchor>
          </controlPr>
        </control>
      </mc:Choice>
      <mc:Fallback>
        <control shapeId="6145" r:id="rId3" name="CommandButton1"/>
      </mc:Fallback>
    </mc:AlternateContent>
    <mc:AlternateContent xmlns:mc="http://schemas.openxmlformats.org/markup-compatibility/2006">
      <mc:Choice Requires="x14">
        <control shapeId="6146" r:id="rId5" name="CommandButton2">
          <controlPr defaultSize="0" autoLine="0" r:id="rId6">
            <anchor moveWithCells="1">
              <from>
                <xdr:col>3</xdr:col>
                <xdr:colOff>304800</xdr:colOff>
                <xdr:row>14</xdr:row>
                <xdr:rowOff>95250</xdr:rowOff>
              </from>
              <to>
                <xdr:col>4</xdr:col>
                <xdr:colOff>476250</xdr:colOff>
                <xdr:row>16</xdr:row>
                <xdr:rowOff>76200</xdr:rowOff>
              </to>
            </anchor>
          </controlPr>
        </control>
      </mc:Choice>
      <mc:Fallback>
        <control shapeId="6146" r:id="rId5" name="Command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árok7"/>
  <dimension ref="A1:I10"/>
  <sheetViews>
    <sheetView showGridLines="0" workbookViewId="0">
      <selection activeCell="A2" sqref="A2"/>
    </sheetView>
  </sheetViews>
  <sheetFormatPr defaultRowHeight="12.75" x14ac:dyDescent="0.2"/>
  <cols>
    <col min="1" max="2" width="9.140625" style="2"/>
    <col min="3" max="3" width="9.85546875" style="2" customWidth="1"/>
    <col min="4" max="4" width="11.7109375" style="2" customWidth="1"/>
    <col min="5" max="5" width="13.28515625" style="2" customWidth="1"/>
    <col min="6" max="16384" width="9.140625" style="2"/>
  </cols>
  <sheetData>
    <row r="1" spans="1:9" ht="18" x14ac:dyDescent="0.25">
      <c r="A1" s="43" t="s">
        <v>45</v>
      </c>
      <c r="B1" s="43"/>
      <c r="C1" s="43"/>
      <c r="D1" s="43"/>
      <c r="E1" s="43"/>
      <c r="F1" s="43"/>
      <c r="G1" s="43"/>
      <c r="H1" s="43"/>
      <c r="I1" s="43"/>
    </row>
    <row r="3" spans="1:9" ht="26.25" customHeight="1" x14ac:dyDescent="0.2">
      <c r="A3" s="41" t="s">
        <v>46</v>
      </c>
      <c r="B3" s="41"/>
      <c r="C3" s="41"/>
      <c r="D3" s="41"/>
      <c r="E3" s="41"/>
      <c r="F3" s="41"/>
      <c r="G3" s="41"/>
      <c r="H3" s="41"/>
      <c r="I3" s="41"/>
    </row>
    <row r="6" spans="1:9" x14ac:dyDescent="0.2">
      <c r="C6" s="5" t="s">
        <v>42</v>
      </c>
      <c r="D6" s="5" t="s">
        <v>43</v>
      </c>
      <c r="E6" s="5" t="s">
        <v>44</v>
      </c>
      <c r="F6" s="7">
        <f>IF(AND(C7="c",D7&lt;&gt;"c",E7&lt;&gt;"c"),1,2)</f>
        <v>2</v>
      </c>
    </row>
    <row r="7" spans="1:9" x14ac:dyDescent="0.2">
      <c r="C7" s="22"/>
      <c r="D7" s="22"/>
      <c r="E7" s="22"/>
      <c r="F7" s="7">
        <f>IF(F6=2,3,IF(AND(E7&lt;&gt;"",F6=1,MOD(10*D7+E7,4)=0),1,2))</f>
        <v>3</v>
      </c>
    </row>
    <row r="10" spans="1:9" x14ac:dyDescent="0.2">
      <c r="D10" s="12" t="s">
        <v>21</v>
      </c>
      <c r="E10" s="21" t="str">
        <f>IF(E7="","nevyplnené",IF(F7=1,"správne","nesprávne"))</f>
        <v>nevyplnené</v>
      </c>
    </row>
  </sheetData>
  <sheetProtection password="DCF7" sheet="1" objects="1" scenarios="1"/>
  <mergeCells count="2">
    <mergeCell ref="A1:I1"/>
    <mergeCell ref="A3:I3"/>
  </mergeCells>
  <phoneticPr fontId="3" type="noConversion"/>
  <pageMargins left="0.75" right="0.75" top="1" bottom="1" header="0.4921259845" footer="0.4921259845"/>
  <headerFooter alignWithMargins="0"/>
  <drawing r:id="rId1"/>
  <legacyDrawing r:id="rId2"/>
  <controls>
    <mc:AlternateContent xmlns:mc="http://schemas.openxmlformats.org/markup-compatibility/2006">
      <mc:Choice Requires="x14">
        <control shapeId="7169" r:id="rId3" name="CommandButton1">
          <controlPr defaultSize="0" autoLine="0" r:id="rId4">
            <anchor moveWithCells="1">
              <from>
                <xdr:col>7</xdr:col>
                <xdr:colOff>333375</xdr:colOff>
                <xdr:row>5</xdr:row>
                <xdr:rowOff>19050</xdr:rowOff>
              </from>
              <to>
                <xdr:col>8</xdr:col>
                <xdr:colOff>533400</xdr:colOff>
                <xdr:row>6</xdr:row>
                <xdr:rowOff>142875</xdr:rowOff>
              </to>
            </anchor>
          </controlPr>
        </control>
      </mc:Choice>
      <mc:Fallback>
        <control shapeId="7169" r:id="rId3" name="CommandButton1"/>
      </mc:Fallback>
    </mc:AlternateContent>
    <mc:AlternateContent xmlns:mc="http://schemas.openxmlformats.org/markup-compatibility/2006">
      <mc:Choice Requires="x14">
        <control shapeId="7170" r:id="rId5" name="CommandButton2">
          <controlPr defaultSize="0" autoLine="0" r:id="rId6">
            <anchor moveWithCells="1">
              <from>
                <xdr:col>2</xdr:col>
                <xdr:colOff>628650</xdr:colOff>
                <xdr:row>13</xdr:row>
                <xdr:rowOff>133350</xdr:rowOff>
              </from>
              <to>
                <xdr:col>4</xdr:col>
                <xdr:colOff>95250</xdr:colOff>
                <xdr:row>15</xdr:row>
                <xdr:rowOff>104775</xdr:rowOff>
              </to>
            </anchor>
          </controlPr>
        </control>
      </mc:Choice>
      <mc:Fallback>
        <control shapeId="7170" r:id="rId5" name="Command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árok8"/>
  <dimension ref="A1:I30"/>
  <sheetViews>
    <sheetView showGridLines="0" workbookViewId="0">
      <selection activeCell="A2" sqref="A2"/>
    </sheetView>
  </sheetViews>
  <sheetFormatPr defaultRowHeight="12.75" x14ac:dyDescent="0.2"/>
  <cols>
    <col min="1" max="1" width="9.140625" style="2"/>
    <col min="2" max="3" width="9.7109375" style="2" customWidth="1"/>
    <col min="4" max="4" width="13.28515625" style="2" customWidth="1"/>
    <col min="5" max="5" width="15.7109375" style="2" customWidth="1"/>
    <col min="6" max="16384" width="9.140625" style="2"/>
  </cols>
  <sheetData>
    <row r="1" spans="1:9" ht="18" x14ac:dyDescent="0.25">
      <c r="A1" s="43" t="s">
        <v>47</v>
      </c>
      <c r="B1" s="43"/>
      <c r="C1" s="43"/>
      <c r="D1" s="43"/>
      <c r="E1" s="43"/>
      <c r="F1" s="43"/>
      <c r="G1" s="43"/>
      <c r="H1" s="43"/>
      <c r="I1" s="43"/>
    </row>
    <row r="3" spans="1:9" ht="26.25" customHeight="1" x14ac:dyDescent="0.2">
      <c r="A3" s="41" t="s">
        <v>48</v>
      </c>
      <c r="B3" s="41"/>
      <c r="C3" s="41"/>
      <c r="D3" s="41"/>
      <c r="E3" s="41"/>
      <c r="F3" s="41"/>
      <c r="G3" s="41"/>
      <c r="H3" s="41"/>
      <c r="I3" s="41"/>
    </row>
    <row r="6" spans="1:9" x14ac:dyDescent="0.2">
      <c r="B6" s="5" t="s">
        <v>49</v>
      </c>
      <c r="C6" s="5" t="s">
        <v>42</v>
      </c>
      <c r="D6" s="5" t="s">
        <v>43</v>
      </c>
      <c r="E6" s="5" t="s">
        <v>44</v>
      </c>
      <c r="F6" s="7">
        <f>IF(AND(B7&lt;&gt;"c",C7="c",D7&lt;&gt;"c",E7&lt;&gt;"c"),1,2)</f>
        <v>2</v>
      </c>
    </row>
    <row r="7" spans="1:9" x14ac:dyDescent="0.2">
      <c r="B7" s="22"/>
      <c r="C7" s="22"/>
      <c r="D7" s="22"/>
      <c r="E7" s="22"/>
      <c r="F7" s="7">
        <f>IF(F6=2,3,IF(MOD(10*D7+E7,4)=0,1,2))</f>
        <v>3</v>
      </c>
    </row>
    <row r="10" spans="1:9" x14ac:dyDescent="0.2">
      <c r="D10" s="12" t="s">
        <v>21</v>
      </c>
      <c r="E10" s="21" t="str">
        <f>IF(OR(B7="",C7="",D7="",E7=""),"nevyplnené",IF(F7=1,"správne","nesprávne"))</f>
        <v>nevyplnené</v>
      </c>
    </row>
    <row r="14" spans="1:9" x14ac:dyDescent="0.2">
      <c r="A14" s="27" t="s">
        <v>50</v>
      </c>
    </row>
    <row r="15" spans="1:9" x14ac:dyDescent="0.2">
      <c r="A15" s="28"/>
      <c r="B15" s="28"/>
      <c r="C15" s="28"/>
      <c r="D15" s="28"/>
      <c r="E15" s="28"/>
      <c r="F15" s="28"/>
      <c r="G15" s="28"/>
      <c r="H15" s="28"/>
      <c r="I15" s="28"/>
    </row>
    <row r="16" spans="1:9" x14ac:dyDescent="0.2">
      <c r="A16" s="28"/>
      <c r="B16" s="28"/>
      <c r="C16" s="28"/>
      <c r="D16" s="28"/>
      <c r="E16" s="28"/>
      <c r="F16" s="28"/>
      <c r="G16" s="28"/>
      <c r="H16" s="28"/>
      <c r="I16" s="28"/>
    </row>
    <row r="17" spans="1:9" x14ac:dyDescent="0.2">
      <c r="A17" s="28"/>
      <c r="B17" s="28"/>
      <c r="C17" s="28"/>
      <c r="D17" s="28"/>
      <c r="E17" s="28"/>
      <c r="F17" s="28"/>
      <c r="G17" s="28"/>
      <c r="H17" s="28"/>
      <c r="I17" s="28"/>
    </row>
    <row r="18" spans="1:9" x14ac:dyDescent="0.2">
      <c r="A18" s="28"/>
      <c r="B18" s="28"/>
      <c r="C18" s="28"/>
      <c r="D18" s="28"/>
      <c r="E18" s="33"/>
      <c r="F18" s="28"/>
      <c r="G18" s="28"/>
      <c r="H18" s="28"/>
      <c r="I18" s="28"/>
    </row>
    <row r="19" spans="1:9" x14ac:dyDescent="0.2">
      <c r="A19" s="28"/>
      <c r="B19" s="28"/>
      <c r="C19" s="28"/>
      <c r="D19" s="28"/>
      <c r="E19" s="28"/>
      <c r="F19" s="28"/>
      <c r="G19" s="28"/>
      <c r="H19" s="28"/>
      <c r="I19" s="28"/>
    </row>
    <row r="20" spans="1:9" x14ac:dyDescent="0.2">
      <c r="A20" s="28"/>
      <c r="B20" s="28"/>
      <c r="C20" s="28"/>
      <c r="D20" s="28"/>
      <c r="E20" s="28"/>
      <c r="F20" s="28"/>
      <c r="G20" s="28"/>
      <c r="H20" s="28"/>
      <c r="I20" s="28"/>
    </row>
    <row r="21" spans="1:9" x14ac:dyDescent="0.2">
      <c r="A21" s="28"/>
      <c r="B21" s="28"/>
      <c r="C21" s="28"/>
      <c r="D21" s="28"/>
      <c r="E21" s="28"/>
      <c r="F21" s="28"/>
      <c r="G21" s="28"/>
      <c r="H21" s="28"/>
      <c r="I21" s="28"/>
    </row>
    <row r="22" spans="1:9" x14ac:dyDescent="0.2">
      <c r="A22" s="28"/>
      <c r="B22" s="28"/>
      <c r="C22" s="28"/>
      <c r="D22" s="28"/>
      <c r="E22" s="28"/>
      <c r="F22" s="28"/>
      <c r="G22" s="28"/>
      <c r="H22" s="28"/>
      <c r="I22" s="28"/>
    </row>
    <row r="23" spans="1:9" x14ac:dyDescent="0.2">
      <c r="A23" s="28"/>
      <c r="B23" s="28"/>
      <c r="C23" s="28"/>
      <c r="D23" s="28"/>
      <c r="E23" s="28"/>
      <c r="F23" s="28"/>
      <c r="G23" s="28"/>
      <c r="H23" s="28"/>
      <c r="I23" s="28"/>
    </row>
    <row r="24" spans="1:9" x14ac:dyDescent="0.2">
      <c r="A24" s="28"/>
      <c r="B24" s="28"/>
      <c r="C24" s="28"/>
      <c r="D24" s="28"/>
      <c r="E24" s="28"/>
      <c r="F24" s="28"/>
      <c r="G24" s="28"/>
      <c r="H24" s="28"/>
      <c r="I24" s="28"/>
    </row>
    <row r="25" spans="1:9" x14ac:dyDescent="0.2">
      <c r="A25" s="28"/>
      <c r="B25" s="28"/>
      <c r="C25" s="28"/>
      <c r="D25" s="28"/>
      <c r="E25" s="28"/>
      <c r="F25" s="28"/>
      <c r="G25" s="28"/>
      <c r="H25" s="28"/>
      <c r="I25" s="28"/>
    </row>
    <row r="26" spans="1:9" x14ac:dyDescent="0.2">
      <c r="A26" s="28"/>
      <c r="B26" s="28"/>
      <c r="C26" s="28"/>
      <c r="D26" s="28"/>
      <c r="E26" s="28"/>
      <c r="F26" s="28"/>
      <c r="G26" s="28"/>
      <c r="H26" s="28"/>
      <c r="I26" s="28"/>
    </row>
    <row r="27" spans="1:9" x14ac:dyDescent="0.2">
      <c r="A27" s="28"/>
      <c r="B27" s="28"/>
      <c r="C27" s="28"/>
      <c r="D27" s="28"/>
      <c r="E27" s="28"/>
      <c r="F27" s="28"/>
      <c r="G27" s="28"/>
      <c r="H27" s="28"/>
      <c r="I27" s="28"/>
    </row>
    <row r="28" spans="1:9" x14ac:dyDescent="0.2">
      <c r="A28" s="28"/>
      <c r="B28" s="28"/>
      <c r="C28" s="28"/>
      <c r="D28" s="28"/>
      <c r="E28" s="28"/>
      <c r="F28" s="28"/>
      <c r="G28" s="28"/>
      <c r="H28" s="28"/>
      <c r="I28" s="28"/>
    </row>
    <row r="29" spans="1:9" x14ac:dyDescent="0.2">
      <c r="A29" s="28"/>
      <c r="B29" s="28"/>
      <c r="C29" s="28"/>
      <c r="D29" s="28"/>
      <c r="E29" s="28"/>
      <c r="F29" s="28"/>
      <c r="G29" s="28"/>
      <c r="H29" s="28"/>
      <c r="I29" s="28"/>
    </row>
    <row r="30" spans="1:9" x14ac:dyDescent="0.2">
      <c r="A30" s="28"/>
      <c r="B30" s="28"/>
      <c r="C30" s="28"/>
      <c r="D30" s="28"/>
      <c r="E30" s="28"/>
      <c r="F30" s="28"/>
      <c r="G30" s="28"/>
      <c r="H30" s="28"/>
      <c r="I30" s="28"/>
    </row>
  </sheetData>
  <sheetProtection password="DCF7" sheet="1" objects="1" scenarios="1"/>
  <mergeCells count="2">
    <mergeCell ref="A1:I1"/>
    <mergeCell ref="A3:I3"/>
  </mergeCells>
  <phoneticPr fontId="3" type="noConversion"/>
  <pageMargins left="0.75" right="0.75" top="1" bottom="1" header="0.4921259845" footer="0.4921259845"/>
  <pageSetup paperSize="9" orientation="portrait" verticalDpi="0" r:id="rId1"/>
  <headerFooter alignWithMargins="0"/>
  <drawing r:id="rId2"/>
  <legacyDrawing r:id="rId3"/>
  <controls>
    <mc:AlternateContent xmlns:mc="http://schemas.openxmlformats.org/markup-compatibility/2006">
      <mc:Choice Requires="x14">
        <control shapeId="8193" r:id="rId4" name="CommandButton1">
          <controlPr defaultSize="0" autoLine="0" r:id="rId5">
            <anchor moveWithCells="1">
              <from>
                <xdr:col>7</xdr:col>
                <xdr:colOff>409575</xdr:colOff>
                <xdr:row>5</xdr:row>
                <xdr:rowOff>47625</xdr:rowOff>
              </from>
              <to>
                <xdr:col>9</xdr:col>
                <xdr:colOff>19050</xdr:colOff>
                <xdr:row>7</xdr:row>
                <xdr:rowOff>0</xdr:rowOff>
              </to>
            </anchor>
          </controlPr>
        </control>
      </mc:Choice>
      <mc:Fallback>
        <control shapeId="819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Hárky</vt:lpstr>
      </vt:variant>
      <vt:variant>
        <vt:i4>2</vt:i4>
      </vt:variant>
    </vt:vector>
  </HeadingPairs>
  <TitlesOfParts>
    <vt:vector size="2" baseType="lpstr">
      <vt:lpstr>Úvod</vt:lpstr>
      <vt:lpstr>Motivacia</vt:lpstr>
    </vt:vector>
  </TitlesOfParts>
  <Company>PF UPJŠ Košice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Stanislav Lukáč</dc:creator>
  <cp:lastModifiedBy>SL</cp:lastModifiedBy>
  <dcterms:created xsi:type="dcterms:W3CDTF">2013-01-28T11:06:20Z</dcterms:created>
  <dcterms:modified xsi:type="dcterms:W3CDTF">2020-08-03T06:40:44Z</dcterms:modified>
</cp:coreProperties>
</file>